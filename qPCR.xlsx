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"/>
    </mc:Choice>
  </mc:AlternateContent>
  <xr:revisionPtr revIDLastSave="0" documentId="13_ncr:1_{57E5E465-CD5C-43CC-8BFD-D3D94CC31269}" xr6:coauthVersionLast="47" xr6:coauthVersionMax="47" xr10:uidLastSave="{00000000-0000-0000-0000-000000000000}"/>
  <bookViews>
    <workbookView xWindow="8423" yWindow="397" windowWidth="13447" windowHeight="1278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M11" i="1"/>
  <c r="M10" i="1"/>
  <c r="G8" i="1"/>
  <c r="N12" i="1"/>
  <c r="N11" i="1"/>
  <c r="N10" i="1"/>
  <c r="J13" i="1"/>
  <c r="O11" i="1"/>
  <c r="O12" i="1"/>
  <c r="O10" i="1"/>
  <c r="L12" i="1"/>
  <c r="L11" i="1"/>
  <c r="L10" i="1"/>
  <c r="L13" i="1"/>
  <c r="M13" i="1" s="1"/>
  <c r="J14" i="1"/>
  <c r="J15" i="1" s="1"/>
  <c r="K13" i="1"/>
  <c r="F35" i="1"/>
  <c r="F32" i="1"/>
  <c r="F29" i="1"/>
  <c r="G20" i="1" s="1"/>
  <c r="F26" i="1"/>
  <c r="G26" i="1" s="1"/>
  <c r="F23" i="1"/>
  <c r="F20" i="1"/>
  <c r="F17" i="1"/>
  <c r="F14" i="1"/>
  <c r="F11" i="1"/>
  <c r="F8" i="1"/>
  <c r="F5" i="1"/>
  <c r="F2" i="1"/>
  <c r="G23" i="1" l="1"/>
  <c r="G2" i="1"/>
  <c r="G5" i="1"/>
</calcChain>
</file>

<file path=xl/sharedStrings.xml><?xml version="1.0" encoding="utf-8"?>
<sst xmlns="http://schemas.openxmlformats.org/spreadsheetml/2006/main" count="88" uniqueCount="49">
  <si>
    <t>C03</t>
  </si>
  <si>
    <t>C04</t>
  </si>
  <si>
    <t>C05</t>
  </si>
  <si>
    <t>C06</t>
  </si>
  <si>
    <t>C07</t>
  </si>
  <si>
    <t>C08</t>
  </si>
  <si>
    <t>C09</t>
  </si>
  <si>
    <t>C10</t>
  </si>
  <si>
    <t>D03</t>
  </si>
  <si>
    <t>D04</t>
  </si>
  <si>
    <t>D05</t>
  </si>
  <si>
    <t>D06</t>
  </si>
  <si>
    <t>D07</t>
  </si>
  <si>
    <t>D08</t>
  </si>
  <si>
    <t>D09</t>
  </si>
  <si>
    <t>D10</t>
  </si>
  <si>
    <t>E03</t>
  </si>
  <si>
    <t>E04</t>
  </si>
  <si>
    <t>E05</t>
  </si>
  <si>
    <t>E06</t>
  </si>
  <si>
    <t>E07</t>
  </si>
  <si>
    <t>E08</t>
  </si>
  <si>
    <t>E09</t>
  </si>
  <si>
    <t>E10</t>
  </si>
  <si>
    <t>F03</t>
  </si>
  <si>
    <t>F04</t>
  </si>
  <si>
    <t>F05</t>
  </si>
  <si>
    <t>F06</t>
  </si>
  <si>
    <t>F07</t>
  </si>
  <si>
    <t>F08</t>
  </si>
  <si>
    <t>F09</t>
  </si>
  <si>
    <t>F10</t>
  </si>
  <si>
    <t>G03</t>
  </si>
  <si>
    <t>G04</t>
  </si>
  <si>
    <t>G05</t>
  </si>
  <si>
    <t>G06</t>
  </si>
  <si>
    <t>ta</t>
    <phoneticPr fontId="1" type="noConversion"/>
  </si>
  <si>
    <t>TetR</t>
    <phoneticPr fontId="1" type="noConversion"/>
  </si>
  <si>
    <t>tb</t>
    <phoneticPr fontId="1" type="noConversion"/>
  </si>
  <si>
    <t>tc</t>
    <phoneticPr fontId="1" type="noConversion"/>
  </si>
  <si>
    <t>16s</t>
    <phoneticPr fontId="1" type="noConversion"/>
  </si>
  <si>
    <t>pa</t>
    <phoneticPr fontId="1" type="noConversion"/>
  </si>
  <si>
    <t>pb</t>
    <phoneticPr fontId="1" type="noConversion"/>
  </si>
  <si>
    <t>pc</t>
    <phoneticPr fontId="1" type="noConversion"/>
  </si>
  <si>
    <t>2^</t>
    <phoneticPr fontId="1" type="noConversion"/>
  </si>
  <si>
    <t>△△Ct</t>
    <phoneticPr fontId="1" type="noConversion"/>
  </si>
  <si>
    <t>△Ct</t>
    <phoneticPr fontId="1" type="noConversion"/>
  </si>
  <si>
    <t>tGmR</t>
    <phoneticPr fontId="1" type="noConversion"/>
  </si>
  <si>
    <t>pJKR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</si>
</sst>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##0.00;\-###0.00"/>
    <numFmt numFmtId="177" formatCode="###0.00000;\-###0.00000"/>
    <numFmt numFmtId="178" formatCode="0.00000000000000_ "/>
    <numFmt numFmtId="183" formatCode="0.00_ "/>
    <numFmt numFmtId="184" formatCode="0.000000000000_ "/>
    <numFmt numFmtId="18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11">
    <xf numFmtId="0" fontId="0" fillId="0" borderId="0" xfId="0"/>
    <xf numFmtId="49" fontId="2" fillId="0" borderId="0" xfId="1" applyNumberFormat="1" applyAlignment="1" applyProtection="1">
      <alignment vertical="center"/>
    </xf>
    <xf numFmtId="176" fontId="2" fillId="0" borderId="0" xfId="1" applyNumberFormat="1" applyAlignment="1" applyProtection="1">
      <alignment vertical="center"/>
    </xf>
    <xf numFmtId="177" fontId="2" fillId="0" borderId="0" xfId="1" applyNumberFormat="1" applyAlignment="1" applyProtection="1">
      <alignment vertical="center"/>
    </xf>
    <xf numFmtId="176" fontId="0" fillId="0" borderId="0" xfId="0" applyNumberFormat="1"/>
    <xf numFmtId="178" fontId="0" fillId="0" borderId="0" xfId="0" applyNumberFormat="1"/>
    <xf numFmtId="176" fontId="2" fillId="2" borderId="0" xfId="1" applyNumberFormat="1" applyFill="1" applyAlignment="1" applyProtection="1">
      <alignment vertical="center"/>
    </xf>
    <xf numFmtId="183" fontId="0" fillId="0" borderId="0" xfId="0" applyNumberFormat="1"/>
    <xf numFmtId="184" fontId="0" fillId="0" borderId="0" xfId="0" applyNumberFormat="1"/>
    <xf numFmtId="186" fontId="0" fillId="0" borderId="0" xfId="0" applyNumberFormat="1"/>
    <xf numFmtId="183" fontId="0" fillId="2" borderId="0" xfId="0" applyNumberFormat="1" applyFill="1"/>
  </cellXfs>
  <cellStyles count="2">
    <cellStyle name="Normal" xfId="1" xr:uid="{6229A171-AEBE-428C-9C81-437C9B08D14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7"/>
  <sheetViews>
    <sheetView tabSelected="1" workbookViewId="0">
      <selection activeCell="K15" sqref="K15"/>
    </sheetView>
  </sheetViews>
  <sheetFormatPr defaultRowHeight="13.9" x14ac:dyDescent="0.4"/>
  <cols>
    <col min="8" max="8" width="18.46484375" bestFit="1" customWidth="1"/>
    <col min="10" max="10" width="9.3984375" customWidth="1"/>
    <col min="12" max="13" width="9.19921875" customWidth="1"/>
    <col min="14" max="14" width="11.46484375" customWidth="1"/>
    <col min="15" max="15" width="7.19921875" customWidth="1"/>
  </cols>
  <sheetData>
    <row r="2" spans="1:15" x14ac:dyDescent="0.4">
      <c r="A2" t="s">
        <v>47</v>
      </c>
      <c r="B2" t="s">
        <v>37</v>
      </c>
      <c r="C2" t="s">
        <v>36</v>
      </c>
      <c r="D2" s="1" t="s">
        <v>0</v>
      </c>
      <c r="E2" s="2">
        <v>15.688354378423</v>
      </c>
      <c r="F2" s="2">
        <f>AVERAGE(E2:E4)</f>
        <v>15.873378128516466</v>
      </c>
      <c r="G2" s="2">
        <f>F2-F11</f>
        <v>10.003933262471286</v>
      </c>
      <c r="H2" s="3"/>
      <c r="I2" s="3"/>
      <c r="J2" s="3"/>
      <c r="K2" s="3"/>
    </row>
    <row r="3" spans="1:15" x14ac:dyDescent="0.4">
      <c r="C3" t="s">
        <v>36</v>
      </c>
      <c r="D3" s="1" t="s">
        <v>1</v>
      </c>
      <c r="E3" s="2">
        <v>15.934385398656801</v>
      </c>
      <c r="F3" s="2"/>
      <c r="G3" s="2"/>
      <c r="H3" s="2"/>
      <c r="I3" s="2"/>
      <c r="J3" s="2"/>
      <c r="K3" s="2"/>
    </row>
    <row r="4" spans="1:15" x14ac:dyDescent="0.4">
      <c r="C4" t="s">
        <v>36</v>
      </c>
      <c r="D4" s="1" t="s">
        <v>2</v>
      </c>
      <c r="E4" s="2">
        <v>15.9973946084696</v>
      </c>
      <c r="F4" s="2"/>
      <c r="G4" s="2"/>
      <c r="H4" s="2"/>
      <c r="I4" s="2"/>
      <c r="J4" s="2"/>
      <c r="K4" s="2"/>
    </row>
    <row r="5" spans="1:15" x14ac:dyDescent="0.4">
      <c r="C5" t="s">
        <v>38</v>
      </c>
      <c r="D5" s="1" t="s">
        <v>3</v>
      </c>
      <c r="E5" s="2">
        <v>15.9861823582415</v>
      </c>
      <c r="F5" s="2">
        <f>AVERAGE(E5:E7)</f>
        <v>16.076687010029399</v>
      </c>
      <c r="G5" s="2">
        <f>F5-F14</f>
        <v>10.306884009793524</v>
      </c>
      <c r="H5" s="3"/>
      <c r="I5" s="3"/>
      <c r="J5" s="3"/>
      <c r="K5" s="3"/>
    </row>
    <row r="6" spans="1:15" x14ac:dyDescent="0.4">
      <c r="C6" t="s">
        <v>38</v>
      </c>
      <c r="D6" s="1" t="s">
        <v>4</v>
      </c>
      <c r="E6" s="2">
        <v>16.2347315950155</v>
      </c>
      <c r="F6" s="2"/>
      <c r="G6" s="2"/>
      <c r="H6" s="2"/>
      <c r="I6" s="2"/>
      <c r="J6" s="2"/>
      <c r="K6" s="2"/>
    </row>
    <row r="7" spans="1:15" x14ac:dyDescent="0.4">
      <c r="C7" t="s">
        <v>38</v>
      </c>
      <c r="D7" s="1" t="s">
        <v>5</v>
      </c>
      <c r="E7" s="2">
        <v>16.009147076831201</v>
      </c>
      <c r="F7" s="2"/>
      <c r="G7" s="2"/>
      <c r="H7" s="2"/>
      <c r="I7" s="2"/>
      <c r="J7" s="2"/>
      <c r="K7" s="2"/>
    </row>
    <row r="8" spans="1:15" x14ac:dyDescent="0.4">
      <c r="C8" t="s">
        <v>39</v>
      </c>
      <c r="D8" s="1" t="s">
        <v>6</v>
      </c>
      <c r="E8" s="2">
        <v>15.675865938902099</v>
      </c>
      <c r="F8" s="2">
        <f>AVERAGE(E8:E10)</f>
        <v>15.801618891147733</v>
      </c>
      <c r="G8" s="2">
        <f>F8-F17</f>
        <v>9.7202436476275267</v>
      </c>
      <c r="H8" s="3"/>
      <c r="I8" s="3"/>
      <c r="J8" t="s">
        <v>47</v>
      </c>
      <c r="K8" t="s">
        <v>48</v>
      </c>
      <c r="L8" t="s">
        <v>47</v>
      </c>
      <c r="N8" t="s">
        <v>48</v>
      </c>
    </row>
    <row r="9" spans="1:15" x14ac:dyDescent="0.4">
      <c r="C9" t="s">
        <v>39</v>
      </c>
      <c r="D9" s="1" t="s">
        <v>7</v>
      </c>
      <c r="E9" s="2">
        <v>15.7231209462987</v>
      </c>
      <c r="F9" s="2"/>
      <c r="G9" s="2"/>
      <c r="H9" s="2"/>
      <c r="I9" s="2"/>
      <c r="J9" t="s">
        <v>46</v>
      </c>
      <c r="K9" t="s">
        <v>46</v>
      </c>
      <c r="L9" t="s">
        <v>45</v>
      </c>
      <c r="M9" t="s">
        <v>44</v>
      </c>
      <c r="N9" t="s">
        <v>45</v>
      </c>
      <c r="O9" t="s">
        <v>44</v>
      </c>
    </row>
    <row r="10" spans="1:15" x14ac:dyDescent="0.4">
      <c r="C10" t="s">
        <v>39</v>
      </c>
      <c r="D10" s="1" t="s">
        <v>8</v>
      </c>
      <c r="E10" s="2">
        <v>16.0058697882424</v>
      </c>
      <c r="F10" s="2"/>
      <c r="G10" s="2"/>
      <c r="H10" s="2"/>
      <c r="I10" s="2"/>
      <c r="J10" s="2">
        <v>10.003933262471286</v>
      </c>
      <c r="K10" s="2">
        <v>11.177776029432287</v>
      </c>
      <c r="L10" s="7">
        <f>J10-K13</f>
        <v>-1.8036708435017559</v>
      </c>
      <c r="M10" s="7">
        <f>2^(-L10)</f>
        <v>3.4910737715739049</v>
      </c>
      <c r="N10" s="9">
        <f>K10-K13</f>
        <v>-0.62982807654075401</v>
      </c>
      <c r="O10" s="7">
        <f>2^-N10</f>
        <v>1.5473805839013564</v>
      </c>
    </row>
    <row r="11" spans="1:15" x14ac:dyDescent="0.4">
      <c r="B11" t="s">
        <v>40</v>
      </c>
      <c r="C11" t="s">
        <v>36</v>
      </c>
      <c r="D11" s="1" t="s">
        <v>9</v>
      </c>
      <c r="E11" s="2">
        <v>5.9917361091132202</v>
      </c>
      <c r="F11" s="2">
        <f>AVERAGE(E11:E13)</f>
        <v>5.869444866045181</v>
      </c>
      <c r="G11" s="2"/>
      <c r="H11" s="2"/>
      <c r="I11" s="2"/>
      <c r="J11" s="2">
        <v>10.306884009793524</v>
      </c>
      <c r="K11" s="2">
        <v>11.390327281249764</v>
      </c>
      <c r="L11" s="7">
        <f>J11-K13</f>
        <v>-1.5007200961795171</v>
      </c>
      <c r="M11" s="7">
        <f>2^(-L11)</f>
        <v>2.8298392374207384</v>
      </c>
      <c r="N11" s="9">
        <f>K11-K13</f>
        <v>-0.41727682472327743</v>
      </c>
      <c r="O11" s="7">
        <f t="shared" ref="O11:O12" si="0">2^-N11</f>
        <v>1.3354045165017894</v>
      </c>
    </row>
    <row r="12" spans="1:15" x14ac:dyDescent="0.4">
      <c r="C12" t="s">
        <v>36</v>
      </c>
      <c r="D12" s="1" t="s">
        <v>10</v>
      </c>
      <c r="E12" s="2">
        <v>6.1887136721198699</v>
      </c>
      <c r="F12" s="2"/>
      <c r="G12" s="2"/>
      <c r="H12" s="2"/>
      <c r="I12" s="2"/>
      <c r="J12" s="2">
        <v>9.7202436476275267</v>
      </c>
      <c r="K12" s="2">
        <v>12.854709007237073</v>
      </c>
      <c r="L12" s="7">
        <f>J12-K13</f>
        <v>-2.0873604583455148</v>
      </c>
      <c r="M12" s="7">
        <f>2^(-L12)</f>
        <v>4.2496984034090204</v>
      </c>
      <c r="N12" s="9">
        <f>K12-K13</f>
        <v>1.0471049012640314</v>
      </c>
      <c r="O12" s="7">
        <f t="shared" si="0"/>
        <v>0.48393832403666742</v>
      </c>
    </row>
    <row r="13" spans="1:15" x14ac:dyDescent="0.4">
      <c r="C13" t="s">
        <v>36</v>
      </c>
      <c r="D13" s="1" t="s">
        <v>11</v>
      </c>
      <c r="E13" s="2">
        <v>5.4278848169024503</v>
      </c>
      <c r="F13" s="2"/>
      <c r="G13" s="2"/>
      <c r="H13" s="2"/>
      <c r="I13" s="4"/>
      <c r="J13" s="4">
        <f t="shared" ref="J13:K13" si="1">AVERAGE(J10:J12)</f>
        <v>10.010353639964112</v>
      </c>
      <c r="K13" s="4">
        <f t="shared" si="1"/>
        <v>11.807604105973041</v>
      </c>
      <c r="L13" s="10">
        <f>AVERAGE(L10:L12)</f>
        <v>-1.7972504660089292</v>
      </c>
      <c r="M13" s="7">
        <f>2^-L13</f>
        <v>3.4755720816295059</v>
      </c>
      <c r="N13" s="8"/>
    </row>
    <row r="14" spans="1:15" x14ac:dyDescent="0.4">
      <c r="C14" t="s">
        <v>38</v>
      </c>
      <c r="D14" s="1" t="s">
        <v>12</v>
      </c>
      <c r="E14" s="2">
        <v>6.4523135373120404</v>
      </c>
      <c r="F14" s="2">
        <f>AVERAGE(E14:E16)</f>
        <v>5.769803000235874</v>
      </c>
      <c r="G14" s="2"/>
      <c r="I14" s="2"/>
      <c r="J14" s="2">
        <f>J13-K13</f>
        <v>-1.7972504660089292</v>
      </c>
      <c r="K14" s="2"/>
    </row>
    <row r="15" spans="1:15" x14ac:dyDescent="0.4">
      <c r="C15" t="s">
        <v>38</v>
      </c>
      <c r="D15" s="1" t="s">
        <v>13</v>
      </c>
      <c r="E15" s="2">
        <v>5.8566355653849804</v>
      </c>
      <c r="F15" s="2"/>
      <c r="G15" s="2"/>
      <c r="H15" s="5"/>
      <c r="I15" s="2"/>
      <c r="J15" s="6">
        <f>2^-J14</f>
        <v>3.4755720816295059</v>
      </c>
      <c r="K15" s="2"/>
    </row>
    <row r="16" spans="1:15" x14ac:dyDescent="0.4">
      <c r="C16" t="s">
        <v>38</v>
      </c>
      <c r="D16" s="1" t="s">
        <v>14</v>
      </c>
      <c r="E16" s="2">
        <v>5.0004598980106003</v>
      </c>
      <c r="F16" s="2"/>
      <c r="G16" s="2"/>
    </row>
    <row r="17" spans="1:11" x14ac:dyDescent="0.4">
      <c r="C17" t="s">
        <v>39</v>
      </c>
      <c r="D17" s="1" t="s">
        <v>15</v>
      </c>
      <c r="E17" s="2">
        <v>6.5787068243405997</v>
      </c>
      <c r="F17" s="2">
        <f>AVERAGE(E17:E19)</f>
        <v>6.0813752435202062</v>
      </c>
      <c r="G17" s="2"/>
      <c r="H17" s="2"/>
      <c r="I17" s="2"/>
      <c r="J17" s="2"/>
      <c r="K17" s="2"/>
    </row>
    <row r="18" spans="1:11" x14ac:dyDescent="0.4">
      <c r="C18" t="s">
        <v>39</v>
      </c>
      <c r="D18" s="1" t="s">
        <v>16</v>
      </c>
      <c r="E18" s="2">
        <v>5.5052858188484697</v>
      </c>
      <c r="F18" s="2"/>
      <c r="G18" s="2"/>
      <c r="H18" s="2"/>
      <c r="I18" s="2"/>
      <c r="J18" s="2"/>
      <c r="K18" s="2"/>
    </row>
    <row r="19" spans="1:11" x14ac:dyDescent="0.4">
      <c r="C19" t="s">
        <v>39</v>
      </c>
      <c r="D19" s="1" t="s">
        <v>17</v>
      </c>
      <c r="E19" s="2">
        <v>6.1601330873715501</v>
      </c>
      <c r="F19" s="2"/>
      <c r="G19" s="2"/>
      <c r="H19" s="2"/>
      <c r="I19" s="2"/>
      <c r="J19" s="2"/>
      <c r="K19" s="2"/>
    </row>
    <row r="20" spans="1:11" x14ac:dyDescent="0.4">
      <c r="A20" t="s">
        <v>48</v>
      </c>
      <c r="B20" t="s">
        <v>37</v>
      </c>
      <c r="C20" t="s">
        <v>41</v>
      </c>
      <c r="D20" s="1" t="s">
        <v>18</v>
      </c>
      <c r="E20" s="2">
        <v>17.235097164769801</v>
      </c>
      <c r="F20" s="2">
        <f>AVERAGE(E20:E22)</f>
        <v>17.326782106839204</v>
      </c>
      <c r="G20" s="2">
        <f>F20-F29</f>
        <v>11.177776029432287</v>
      </c>
      <c r="H20" s="3"/>
      <c r="I20" s="3"/>
      <c r="J20" s="3"/>
      <c r="K20" s="3"/>
    </row>
    <row r="21" spans="1:11" x14ac:dyDescent="0.4">
      <c r="C21" t="s">
        <v>41</v>
      </c>
      <c r="D21" s="1" t="s">
        <v>19</v>
      </c>
      <c r="E21" s="2">
        <v>17.363611330887402</v>
      </c>
      <c r="F21" s="2"/>
      <c r="G21" s="2"/>
      <c r="H21" s="2"/>
      <c r="I21" s="2"/>
      <c r="J21" s="2"/>
      <c r="K21" s="2"/>
    </row>
    <row r="22" spans="1:11" x14ac:dyDescent="0.4">
      <c r="C22" t="s">
        <v>41</v>
      </c>
      <c r="D22" s="1" t="s">
        <v>20</v>
      </c>
      <c r="E22" s="2">
        <v>17.381637824860402</v>
      </c>
      <c r="F22" s="2"/>
      <c r="G22" s="2"/>
      <c r="H22" s="2"/>
      <c r="I22" s="2"/>
      <c r="J22" s="2"/>
      <c r="K22" s="2"/>
    </row>
    <row r="23" spans="1:11" x14ac:dyDescent="0.4">
      <c r="C23" t="s">
        <v>42</v>
      </c>
      <c r="D23" s="1" t="s">
        <v>21</v>
      </c>
      <c r="E23" s="2">
        <v>17.196541795861702</v>
      </c>
      <c r="F23" s="2">
        <f>AVERAGE(E23:E25)</f>
        <v>17.218114656992633</v>
      </c>
      <c r="G23" s="2">
        <f>F23-F32</f>
        <v>11.390327281249764</v>
      </c>
      <c r="H23" s="3"/>
      <c r="I23" s="3"/>
      <c r="J23" s="3"/>
      <c r="K23" s="3"/>
    </row>
    <row r="24" spans="1:11" x14ac:dyDescent="0.4">
      <c r="C24" t="s">
        <v>42</v>
      </c>
      <c r="D24" s="1" t="s">
        <v>22</v>
      </c>
      <c r="E24" s="2">
        <v>17.243874945657801</v>
      </c>
      <c r="F24" s="2"/>
      <c r="G24" s="2"/>
      <c r="H24" s="2"/>
      <c r="I24" s="2"/>
      <c r="J24" s="2"/>
      <c r="K24" s="2"/>
    </row>
    <row r="25" spans="1:11" x14ac:dyDescent="0.4">
      <c r="C25" t="s">
        <v>42</v>
      </c>
      <c r="D25" s="1" t="s">
        <v>23</v>
      </c>
      <c r="E25" s="2">
        <v>17.213927229458399</v>
      </c>
      <c r="F25" s="2"/>
      <c r="G25" s="2"/>
      <c r="H25" s="2"/>
      <c r="I25" s="2"/>
      <c r="J25" s="2"/>
      <c r="K25" s="2"/>
    </row>
    <row r="26" spans="1:11" x14ac:dyDescent="0.4">
      <c r="C26" t="s">
        <v>43</v>
      </c>
      <c r="D26" s="1" t="s">
        <v>24</v>
      </c>
      <c r="E26" s="2">
        <v>17.738078840988798</v>
      </c>
      <c r="F26" s="2">
        <f>AVERAGE(E26:E28)</f>
        <v>17.588251900503863</v>
      </c>
      <c r="G26" s="2">
        <f>F26-F35</f>
        <v>12.854709007237073</v>
      </c>
      <c r="H26" s="3"/>
      <c r="I26" s="3"/>
      <c r="J26" s="3"/>
      <c r="K26" s="3"/>
    </row>
    <row r="27" spans="1:11" x14ac:dyDescent="0.4">
      <c r="C27" t="s">
        <v>43</v>
      </c>
      <c r="D27" s="1" t="s">
        <v>25</v>
      </c>
      <c r="E27" s="2">
        <v>17.504366552841699</v>
      </c>
      <c r="F27" s="2"/>
      <c r="G27" s="2"/>
      <c r="H27" s="2"/>
      <c r="I27" s="2"/>
      <c r="J27" s="2"/>
      <c r="K27" s="2"/>
    </row>
    <row r="28" spans="1:11" x14ac:dyDescent="0.4">
      <c r="C28" t="s">
        <v>43</v>
      </c>
      <c r="D28" s="1" t="s">
        <v>26</v>
      </c>
      <c r="E28" s="2">
        <v>17.522310307681099</v>
      </c>
      <c r="F28" s="2"/>
      <c r="G28" s="2"/>
      <c r="H28" s="2"/>
      <c r="I28" s="2"/>
      <c r="J28" s="2"/>
      <c r="K28" s="2"/>
    </row>
    <row r="29" spans="1:11" x14ac:dyDescent="0.4">
      <c r="B29" t="s">
        <v>40</v>
      </c>
      <c r="C29" t="s">
        <v>41</v>
      </c>
      <c r="D29" s="1" t="s">
        <v>27</v>
      </c>
      <c r="E29" s="2">
        <v>7.1301658581691996</v>
      </c>
      <c r="F29" s="2">
        <f>AVERAGE(E29:E31)</f>
        <v>6.1490060774069164</v>
      </c>
      <c r="G29" s="2"/>
      <c r="H29" s="2"/>
      <c r="I29" s="2"/>
      <c r="J29" s="2"/>
      <c r="K29" s="2"/>
    </row>
    <row r="30" spans="1:11" x14ac:dyDescent="0.4">
      <c r="C30" t="s">
        <v>41</v>
      </c>
      <c r="D30" s="1" t="s">
        <v>28</v>
      </c>
      <c r="E30" s="2">
        <v>5.94470310920393</v>
      </c>
      <c r="F30" s="2"/>
      <c r="G30" s="2"/>
      <c r="H30" s="2"/>
      <c r="I30" s="2"/>
      <c r="J30" s="2"/>
      <c r="K30" s="2"/>
    </row>
    <row r="31" spans="1:11" x14ac:dyDescent="0.4">
      <c r="C31" t="s">
        <v>41</v>
      </c>
      <c r="D31" s="1" t="s">
        <v>29</v>
      </c>
      <c r="E31" s="2">
        <v>5.3721492648476197</v>
      </c>
      <c r="F31" s="2"/>
      <c r="G31" s="2"/>
      <c r="H31" s="2"/>
      <c r="I31" s="2"/>
      <c r="J31" s="2"/>
      <c r="K31" s="2"/>
    </row>
    <row r="32" spans="1:11" x14ac:dyDescent="0.4">
      <c r="C32" t="s">
        <v>42</v>
      </c>
      <c r="D32" s="1" t="s">
        <v>30</v>
      </c>
      <c r="E32" s="2">
        <v>6.7891047349427298</v>
      </c>
      <c r="F32" s="2">
        <f>AVERAGE(E32:E34)</f>
        <v>5.8277873757428695</v>
      </c>
      <c r="G32" s="2"/>
      <c r="H32" s="2"/>
      <c r="I32" s="2"/>
      <c r="J32" s="2"/>
      <c r="K32" s="2"/>
    </row>
    <row r="33" spans="3:11" x14ac:dyDescent="0.4">
      <c r="C33" t="s">
        <v>42</v>
      </c>
      <c r="D33" s="1" t="s">
        <v>31</v>
      </c>
      <c r="E33" s="2">
        <v>5.82673043467656</v>
      </c>
      <c r="F33" s="2"/>
      <c r="G33" s="2"/>
      <c r="H33" s="2"/>
      <c r="I33" s="2"/>
      <c r="J33" s="2"/>
      <c r="K33" s="2"/>
    </row>
    <row r="34" spans="3:11" x14ac:dyDescent="0.4">
      <c r="C34" t="s">
        <v>42</v>
      </c>
      <c r="D34" s="1" t="s">
        <v>32</v>
      </c>
      <c r="E34" s="2">
        <v>4.8675269576093196</v>
      </c>
      <c r="F34" s="2"/>
      <c r="G34" s="2"/>
      <c r="H34" s="2"/>
      <c r="I34" s="2"/>
      <c r="J34" s="2"/>
      <c r="K34" s="2"/>
    </row>
    <row r="35" spans="3:11" x14ac:dyDescent="0.4">
      <c r="C35" t="s">
        <v>43</v>
      </c>
      <c r="D35" s="1" t="s">
        <v>33</v>
      </c>
      <c r="E35" s="2">
        <v>5.1407488119139604</v>
      </c>
      <c r="F35" s="2">
        <f>AVERAGE(E35:E37)</f>
        <v>4.7335428932667893</v>
      </c>
      <c r="G35" s="2"/>
      <c r="H35" s="2"/>
      <c r="I35" s="2"/>
      <c r="J35" s="2"/>
      <c r="K35" s="2"/>
    </row>
    <row r="36" spans="3:11" x14ac:dyDescent="0.4">
      <c r="C36" t="s">
        <v>43</v>
      </c>
      <c r="D36" s="1" t="s">
        <v>34</v>
      </c>
      <c r="E36" s="2">
        <v>4.1934768677902197</v>
      </c>
      <c r="F36" s="2"/>
      <c r="G36" s="2"/>
      <c r="H36" s="2"/>
      <c r="I36" s="2"/>
      <c r="J36" s="2"/>
      <c r="K36" s="2"/>
    </row>
    <row r="37" spans="3:11" x14ac:dyDescent="0.4">
      <c r="C37" t="s">
        <v>43</v>
      </c>
      <c r="D37" s="1" t="s">
        <v>35</v>
      </c>
      <c r="E37" s="2">
        <v>4.8664030000961898</v>
      </c>
      <c r="F37" s="2"/>
      <c r="G37" s="2"/>
      <c r="H37" s="2"/>
      <c r="I37" s="2"/>
      <c r="J37" s="2"/>
      <c r="K3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2026-02-28T12:01:32Z</dcterms:modified>
</cp:coreProperties>
</file>