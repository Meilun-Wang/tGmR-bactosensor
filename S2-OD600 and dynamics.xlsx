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D2B8FAE5-13CB-4B66-BE3A-95D216B99D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T_OD600" sheetId="2" r:id="rId1"/>
    <sheet name="ERY_OD600" sheetId="1" r:id="rId2"/>
    <sheet name="μ" sheetId="3" r:id="rId3"/>
    <sheet name="TET_dynamics" sheetId="4" r:id="rId4"/>
    <sheet name="ERY_dynamic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3" l="1"/>
  <c r="P14" i="3"/>
  <c r="P15" i="3"/>
  <c r="P16" i="3"/>
  <c r="P17" i="3"/>
  <c r="P18" i="3"/>
  <c r="P19" i="3"/>
  <c r="P12" i="3"/>
  <c r="O13" i="3"/>
  <c r="O14" i="3"/>
  <c r="O15" i="3"/>
  <c r="O16" i="3"/>
  <c r="O17" i="3"/>
  <c r="O18" i="3"/>
  <c r="O19" i="3"/>
  <c r="O12" i="3"/>
  <c r="N13" i="3"/>
  <c r="N14" i="3"/>
  <c r="N15" i="3"/>
  <c r="N16" i="3"/>
  <c r="N17" i="3"/>
  <c r="N18" i="3"/>
  <c r="N19" i="3"/>
  <c r="N12" i="3"/>
  <c r="M13" i="3"/>
  <c r="M14" i="3"/>
  <c r="M15" i="3"/>
  <c r="M16" i="3"/>
  <c r="M17" i="3"/>
  <c r="M18" i="3"/>
  <c r="M19" i="3"/>
  <c r="L13" i="3"/>
  <c r="L14" i="3"/>
  <c r="L15" i="3"/>
  <c r="L16" i="3"/>
  <c r="L17" i="3"/>
  <c r="L18" i="3"/>
  <c r="L19" i="3"/>
  <c r="K13" i="3"/>
  <c r="K14" i="3"/>
  <c r="K15" i="3"/>
  <c r="K16" i="3"/>
  <c r="K17" i="3"/>
  <c r="K18" i="3"/>
  <c r="K19" i="3"/>
  <c r="J13" i="3"/>
  <c r="J14" i="3"/>
  <c r="J15" i="3"/>
  <c r="J16" i="3"/>
  <c r="J17" i="3"/>
  <c r="J18" i="3"/>
  <c r="J19" i="3"/>
  <c r="I13" i="3"/>
  <c r="I14" i="3"/>
  <c r="I15" i="3"/>
  <c r="I16" i="3"/>
  <c r="I17" i="3"/>
  <c r="I18" i="3"/>
  <c r="I19" i="3"/>
  <c r="K12" i="3"/>
  <c r="L12" i="3"/>
  <c r="M12" i="3"/>
  <c r="I12" i="3"/>
  <c r="J12" i="3"/>
  <c r="H12" i="3"/>
  <c r="H13" i="3"/>
  <c r="H14" i="3"/>
  <c r="H15" i="3"/>
  <c r="H16" i="3"/>
  <c r="H17" i="3"/>
  <c r="H18" i="3"/>
  <c r="H19" i="3"/>
  <c r="P3" i="3"/>
  <c r="P4" i="3"/>
  <c r="P5" i="3"/>
  <c r="P6" i="3"/>
  <c r="P7" i="3"/>
  <c r="P8" i="3"/>
  <c r="P9" i="3"/>
  <c r="P2" i="3"/>
  <c r="O3" i="3"/>
  <c r="O4" i="3"/>
  <c r="O5" i="3"/>
  <c r="O6" i="3"/>
  <c r="O7" i="3"/>
  <c r="O8" i="3"/>
  <c r="O9" i="3"/>
  <c r="O2" i="3"/>
  <c r="N3" i="3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L3" i="3"/>
  <c r="L4" i="3"/>
  <c r="L5" i="3"/>
  <c r="L6" i="3"/>
  <c r="L7" i="3"/>
  <c r="L8" i="3"/>
  <c r="L9" i="3"/>
  <c r="K3" i="3"/>
  <c r="K4" i="3"/>
  <c r="K5" i="3"/>
  <c r="K6" i="3"/>
  <c r="K7" i="3"/>
  <c r="K8" i="3"/>
  <c r="K9" i="3"/>
  <c r="J3" i="3"/>
  <c r="J4" i="3"/>
  <c r="J5" i="3"/>
  <c r="J6" i="3"/>
  <c r="J7" i="3"/>
  <c r="J8" i="3"/>
  <c r="J9" i="3"/>
  <c r="I3" i="3"/>
  <c r="I4" i="3"/>
  <c r="I5" i="3"/>
  <c r="I6" i="3"/>
  <c r="I7" i="3"/>
  <c r="I8" i="3"/>
  <c r="I9" i="3"/>
  <c r="I2" i="3"/>
  <c r="J2" i="3"/>
  <c r="K2" i="3"/>
  <c r="L2" i="3"/>
  <c r="M2" i="3"/>
  <c r="H3" i="3"/>
  <c r="H4" i="3"/>
  <c r="H5" i="3"/>
  <c r="H6" i="3"/>
  <c r="H7" i="3"/>
  <c r="H8" i="3"/>
  <c r="H9" i="3"/>
  <c r="H2" i="3"/>
</calcChain>
</file>

<file path=xl/sharedStrings.xml><?xml version="1.0" encoding="utf-8"?>
<sst xmlns="http://schemas.openxmlformats.org/spreadsheetml/2006/main" count="98" uniqueCount="25">
  <si>
    <t>0 μg/L</t>
    <phoneticPr fontId="2" type="noConversion"/>
  </si>
  <si>
    <t>0 h</t>
    <phoneticPr fontId="2" type="noConversion"/>
  </si>
  <si>
    <t>20 μg/L</t>
    <phoneticPr fontId="2" type="noConversion"/>
  </si>
  <si>
    <t>50 μg/L</t>
    <phoneticPr fontId="2" type="noConversion"/>
  </si>
  <si>
    <t>100 μg/L</t>
    <phoneticPr fontId="2" type="noConversion"/>
  </si>
  <si>
    <t>250 μg/L</t>
    <phoneticPr fontId="2" type="noConversion"/>
  </si>
  <si>
    <t>500 μg/L</t>
    <phoneticPr fontId="2" type="noConversion"/>
  </si>
  <si>
    <t>750 μg/L</t>
    <phoneticPr fontId="2" type="noConversion"/>
  </si>
  <si>
    <t>1000 μg/L</t>
    <phoneticPr fontId="2" type="noConversion"/>
  </si>
  <si>
    <t>1 h</t>
    <phoneticPr fontId="2" type="noConversion"/>
  </si>
  <si>
    <t>2 h</t>
    <phoneticPr fontId="2" type="noConversion"/>
  </si>
  <si>
    <t>3h</t>
    <phoneticPr fontId="2" type="noConversion"/>
  </si>
  <si>
    <t>4h</t>
    <phoneticPr fontId="2" type="noConversion"/>
  </si>
  <si>
    <t>5h</t>
    <phoneticPr fontId="2" type="noConversion"/>
  </si>
  <si>
    <t>6h</t>
    <phoneticPr fontId="2" type="noConversion"/>
  </si>
  <si>
    <t>7h</t>
    <phoneticPr fontId="2" type="noConversion"/>
  </si>
  <si>
    <t>8h</t>
    <phoneticPr fontId="2" type="noConversion"/>
  </si>
  <si>
    <t>9h</t>
    <phoneticPr fontId="2" type="noConversion"/>
  </si>
  <si>
    <t>ERY</t>
    <phoneticPr fontId="2" type="noConversion"/>
  </si>
  <si>
    <t>TET</t>
    <phoneticPr fontId="2" type="noConversion"/>
  </si>
  <si>
    <t>conc_ERY</t>
    <phoneticPr fontId="2" type="noConversion"/>
  </si>
  <si>
    <t>0h</t>
    <phoneticPr fontId="2" type="noConversion"/>
  </si>
  <si>
    <t>1h</t>
    <phoneticPr fontId="2" type="noConversion"/>
  </si>
  <si>
    <t>2h</t>
    <phoneticPr fontId="2" type="noConversion"/>
  </si>
  <si>
    <t>conc_TET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</si>
</sst>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800110F0-6574-49E5-B3C9-91E28D252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9B61-1F68-42BC-BBC1-B1A68D3DFD1B}">
  <dimension ref="A1:AE9"/>
  <sheetViews>
    <sheetView tabSelected="1" workbookViewId="0">
      <selection activeCell="B13" sqref="B13"/>
    </sheetView>
  </sheetViews>
  <sheetFormatPr defaultRowHeight="13.9" x14ac:dyDescent="0.4"/>
  <sheetData>
    <row r="1" spans="1:31" x14ac:dyDescent="0.4">
      <c r="B1" s="2" t="s">
        <v>1</v>
      </c>
      <c r="C1" s="2"/>
      <c r="D1" s="2"/>
      <c r="E1" s="2" t="s">
        <v>9</v>
      </c>
      <c r="F1" s="2"/>
      <c r="G1" s="2"/>
      <c r="H1" s="2" t="s">
        <v>10</v>
      </c>
      <c r="I1" s="2"/>
      <c r="J1" s="2"/>
      <c r="K1" s="2" t="s">
        <v>11</v>
      </c>
      <c r="L1" s="2"/>
      <c r="M1" s="2"/>
      <c r="N1" s="2" t="s">
        <v>12</v>
      </c>
      <c r="O1" s="2"/>
      <c r="P1" s="2"/>
      <c r="Q1" s="2" t="s">
        <v>13</v>
      </c>
      <c r="R1" s="2"/>
      <c r="S1" s="2"/>
      <c r="T1" s="2" t="s">
        <v>14</v>
      </c>
      <c r="U1" s="2"/>
      <c r="V1" s="2"/>
      <c r="W1" s="2" t="s">
        <v>15</v>
      </c>
      <c r="X1" s="2"/>
      <c r="Y1" s="2"/>
      <c r="Z1" s="2" t="s">
        <v>16</v>
      </c>
      <c r="AA1" s="2"/>
      <c r="AB1" s="2"/>
      <c r="AC1" s="2" t="s">
        <v>17</v>
      </c>
      <c r="AD1" s="2"/>
      <c r="AE1" s="2"/>
    </row>
    <row r="2" spans="1:31" x14ac:dyDescent="0.4">
      <c r="A2" t="s">
        <v>0</v>
      </c>
      <c r="B2" s="1">
        <v>0.25569999999999998</v>
      </c>
      <c r="C2" s="1">
        <v>0.2697</v>
      </c>
      <c r="D2" s="1">
        <v>0.26669999999999999</v>
      </c>
      <c r="E2" s="1">
        <v>0.4667</v>
      </c>
      <c r="F2" s="1">
        <v>0.47870000000000001</v>
      </c>
      <c r="G2" s="1">
        <v>0.4637</v>
      </c>
      <c r="H2" s="1">
        <v>0.47470000000000001</v>
      </c>
      <c r="I2" s="1">
        <v>0.51969999999999994</v>
      </c>
      <c r="J2" s="1">
        <v>0.50770000000000004</v>
      </c>
      <c r="K2" s="1">
        <v>0.59770000000000001</v>
      </c>
      <c r="L2" s="1">
        <v>0.64969999999999994</v>
      </c>
      <c r="M2" s="1">
        <v>0.60970000000000002</v>
      </c>
      <c r="N2" s="1">
        <v>0.68269999999999997</v>
      </c>
      <c r="O2" s="1">
        <v>0.75170000000000003</v>
      </c>
      <c r="P2" s="1">
        <v>0.69169999999999998</v>
      </c>
      <c r="Q2" s="1">
        <v>0.7117</v>
      </c>
      <c r="R2" s="1">
        <v>0.77569999999999995</v>
      </c>
      <c r="S2" s="1">
        <v>0.70469999999999999</v>
      </c>
      <c r="T2" s="1">
        <v>0.69669999999999999</v>
      </c>
      <c r="U2" s="1">
        <v>0.77269999999999994</v>
      </c>
      <c r="V2" s="1">
        <v>0.69169999999999998</v>
      </c>
      <c r="W2" s="1">
        <v>0.68669999999999998</v>
      </c>
      <c r="X2" s="1">
        <v>0.76569999999999994</v>
      </c>
      <c r="Y2" s="1">
        <v>0.68869999999999998</v>
      </c>
      <c r="Z2" s="1">
        <v>0.68169999999999997</v>
      </c>
      <c r="AA2" s="1">
        <v>0.76969999999999994</v>
      </c>
      <c r="AB2" s="1">
        <v>0.69169999999999998</v>
      </c>
      <c r="AC2" s="1">
        <v>0.67569999999999997</v>
      </c>
      <c r="AD2" s="1">
        <v>0.76569999999999994</v>
      </c>
      <c r="AE2" s="1">
        <v>0.66869999999999996</v>
      </c>
    </row>
    <row r="3" spans="1:31" x14ac:dyDescent="0.4">
      <c r="A3" t="s">
        <v>2</v>
      </c>
      <c r="B3" s="1">
        <v>0.26769999999999999</v>
      </c>
      <c r="C3" s="1">
        <v>0.2747</v>
      </c>
      <c r="D3" s="1">
        <v>0.2757</v>
      </c>
      <c r="E3" s="1">
        <v>0.47770000000000001</v>
      </c>
      <c r="F3" s="1">
        <v>0.49170000000000003</v>
      </c>
      <c r="G3" s="1">
        <v>0.48570000000000002</v>
      </c>
      <c r="H3" s="1">
        <v>0.50870000000000004</v>
      </c>
      <c r="I3" s="1">
        <v>0.53669999999999995</v>
      </c>
      <c r="J3" s="1">
        <v>0.51869999999999994</v>
      </c>
      <c r="K3" s="1">
        <v>0.61870000000000003</v>
      </c>
      <c r="L3" s="1">
        <v>0.66569999999999996</v>
      </c>
      <c r="M3" s="1">
        <v>0.63070000000000004</v>
      </c>
      <c r="N3" s="1">
        <v>0.70569999999999999</v>
      </c>
      <c r="O3" s="1">
        <v>0.76669999999999994</v>
      </c>
      <c r="P3" s="1">
        <v>0.7107</v>
      </c>
      <c r="Q3" s="1">
        <v>0.73070000000000002</v>
      </c>
      <c r="R3" s="1">
        <v>0.79169999999999996</v>
      </c>
      <c r="S3" s="1">
        <v>0.72570000000000001</v>
      </c>
      <c r="T3" s="1">
        <v>0.7147</v>
      </c>
      <c r="U3" s="1">
        <v>0.78569999999999995</v>
      </c>
      <c r="V3" s="1">
        <v>0.7117</v>
      </c>
      <c r="W3" s="1">
        <v>0.70069999999999999</v>
      </c>
      <c r="X3" s="1">
        <v>0.78069999999999995</v>
      </c>
      <c r="Y3" s="1">
        <v>0.69869999999999999</v>
      </c>
      <c r="Z3" s="1">
        <v>0.69669999999999999</v>
      </c>
      <c r="AA3" s="1">
        <v>0.77469999999999994</v>
      </c>
      <c r="AB3" s="1">
        <v>0.68569999999999998</v>
      </c>
      <c r="AC3" s="1">
        <v>0.67969999999999997</v>
      </c>
      <c r="AD3" s="1">
        <v>0.77169999999999994</v>
      </c>
      <c r="AE3" s="1">
        <v>0.68169999999999997</v>
      </c>
    </row>
    <row r="4" spans="1:31" x14ac:dyDescent="0.4">
      <c r="A4" t="s">
        <v>3</v>
      </c>
      <c r="B4" s="1">
        <v>0.2727</v>
      </c>
      <c r="C4" s="1">
        <v>0.2787</v>
      </c>
      <c r="D4" s="1">
        <v>0.28070000000000001</v>
      </c>
      <c r="E4" s="1">
        <v>0.4627</v>
      </c>
      <c r="F4" s="1">
        <v>0.50370000000000004</v>
      </c>
      <c r="G4" s="1">
        <v>0.48870000000000002</v>
      </c>
      <c r="H4" s="1">
        <v>0.51769999999999994</v>
      </c>
      <c r="I4" s="1">
        <v>0.54569999999999996</v>
      </c>
      <c r="J4" s="1">
        <v>0.52269999999999994</v>
      </c>
      <c r="K4" s="1">
        <v>0.61970000000000003</v>
      </c>
      <c r="L4" s="1">
        <v>0.67169999999999996</v>
      </c>
      <c r="M4" s="1">
        <v>0.63270000000000004</v>
      </c>
      <c r="N4" s="1">
        <v>0.70669999999999999</v>
      </c>
      <c r="O4" s="1">
        <v>0.77069999999999994</v>
      </c>
      <c r="P4" s="1">
        <v>0.7127</v>
      </c>
      <c r="Q4" s="1">
        <v>0.73370000000000002</v>
      </c>
      <c r="R4" s="1">
        <v>0.79769999999999996</v>
      </c>
      <c r="S4" s="1">
        <v>0.73170000000000002</v>
      </c>
      <c r="T4" s="1">
        <v>0.7167</v>
      </c>
      <c r="U4" s="1">
        <v>0.78769999999999996</v>
      </c>
      <c r="V4" s="1">
        <v>0.7097</v>
      </c>
      <c r="W4" s="1">
        <v>0.69969999999999999</v>
      </c>
      <c r="X4" s="1">
        <v>0.78669999999999995</v>
      </c>
      <c r="Y4" s="1">
        <v>0.69969999999999999</v>
      </c>
      <c r="Z4" s="1">
        <v>0.69969999999999999</v>
      </c>
      <c r="AA4" s="1">
        <v>0.78069999999999995</v>
      </c>
      <c r="AB4" s="1">
        <v>0.68669999999999998</v>
      </c>
      <c r="AC4" s="1">
        <v>0.67969999999999997</v>
      </c>
      <c r="AD4" s="1">
        <v>0.77469999999999994</v>
      </c>
      <c r="AE4" s="1">
        <v>0.67369999999999997</v>
      </c>
    </row>
    <row r="5" spans="1:31" x14ac:dyDescent="0.4">
      <c r="A5" t="s">
        <v>4</v>
      </c>
      <c r="B5" s="1">
        <v>0.26869999999999999</v>
      </c>
      <c r="C5" s="1">
        <v>0.2737</v>
      </c>
      <c r="D5" s="1">
        <v>0.2727</v>
      </c>
      <c r="E5" s="1">
        <v>0.44969999999999999</v>
      </c>
      <c r="F5" s="1">
        <v>0.49070000000000003</v>
      </c>
      <c r="G5" s="1">
        <v>0.47470000000000001</v>
      </c>
      <c r="H5" s="1">
        <v>0.50470000000000004</v>
      </c>
      <c r="I5" s="1">
        <v>0.53169999999999995</v>
      </c>
      <c r="J5" s="1">
        <v>0.51569999999999994</v>
      </c>
      <c r="K5" s="1">
        <v>0.61270000000000002</v>
      </c>
      <c r="L5" s="1">
        <v>0.65669999999999995</v>
      </c>
      <c r="M5" s="1">
        <v>0.62670000000000003</v>
      </c>
      <c r="N5" s="1">
        <v>0.70469999999999999</v>
      </c>
      <c r="O5" s="1">
        <v>0.75770000000000004</v>
      </c>
      <c r="P5" s="1">
        <v>0.70669999999999999</v>
      </c>
      <c r="Q5" s="1">
        <v>0.73470000000000002</v>
      </c>
      <c r="R5" s="1">
        <v>0.78969999999999996</v>
      </c>
      <c r="S5" s="1">
        <v>0.72870000000000001</v>
      </c>
      <c r="T5" s="1">
        <v>0.72170000000000001</v>
      </c>
      <c r="U5" s="1">
        <v>0.78669999999999995</v>
      </c>
      <c r="V5" s="1">
        <v>0.7077</v>
      </c>
      <c r="W5" s="1">
        <v>0.70569999999999999</v>
      </c>
      <c r="X5" s="1">
        <v>0.78569999999999995</v>
      </c>
      <c r="Y5" s="1">
        <v>0.70669999999999999</v>
      </c>
      <c r="Z5" s="1">
        <v>0.7077</v>
      </c>
      <c r="AA5" s="1">
        <v>0.78069999999999995</v>
      </c>
      <c r="AB5" s="1">
        <v>0.68969999999999998</v>
      </c>
      <c r="AC5" s="1">
        <v>0.69969999999999999</v>
      </c>
      <c r="AD5" s="1">
        <v>0.77169999999999994</v>
      </c>
      <c r="AE5" s="1">
        <v>0.67669999999999997</v>
      </c>
    </row>
    <row r="6" spans="1:31" x14ac:dyDescent="0.4">
      <c r="A6" t="s">
        <v>5</v>
      </c>
      <c r="B6" s="1">
        <v>0.2747</v>
      </c>
      <c r="C6" s="1">
        <v>0.28370000000000001</v>
      </c>
      <c r="D6" s="1">
        <v>0.2797</v>
      </c>
      <c r="E6" s="1">
        <v>0.43069999999999997</v>
      </c>
      <c r="F6" s="1">
        <v>0.46870000000000001</v>
      </c>
      <c r="G6" s="1">
        <v>0.44869999999999999</v>
      </c>
      <c r="H6" s="1">
        <v>0.47370000000000001</v>
      </c>
      <c r="I6" s="1">
        <v>0.50870000000000004</v>
      </c>
      <c r="J6" s="1">
        <v>0.49570000000000003</v>
      </c>
      <c r="K6" s="1">
        <v>0.59470000000000001</v>
      </c>
      <c r="L6" s="1">
        <v>0.63570000000000004</v>
      </c>
      <c r="M6" s="1">
        <v>0.61070000000000002</v>
      </c>
      <c r="N6" s="1">
        <v>0.69169999999999998</v>
      </c>
      <c r="O6" s="1">
        <v>0.74370000000000003</v>
      </c>
      <c r="P6" s="1">
        <v>0.70069999999999999</v>
      </c>
      <c r="Q6" s="1">
        <v>0.75770000000000004</v>
      </c>
      <c r="R6" s="1">
        <v>0.80369999999999997</v>
      </c>
      <c r="S6" s="1">
        <v>0.74970000000000003</v>
      </c>
      <c r="T6" s="1">
        <v>0.73870000000000002</v>
      </c>
      <c r="U6" s="1">
        <v>0.79469999999999996</v>
      </c>
      <c r="V6" s="1">
        <v>0.73370000000000002</v>
      </c>
      <c r="W6" s="1">
        <v>0.72570000000000001</v>
      </c>
      <c r="X6" s="1">
        <v>0.79769999999999996</v>
      </c>
      <c r="Y6" s="1">
        <v>0.72170000000000001</v>
      </c>
      <c r="Z6" s="1">
        <v>0.7147</v>
      </c>
      <c r="AA6" s="1">
        <v>0.79069999999999996</v>
      </c>
      <c r="AB6" s="1">
        <v>0.70569999999999999</v>
      </c>
      <c r="AC6" s="1">
        <v>0.70469999999999999</v>
      </c>
      <c r="AD6" s="1">
        <v>0.78469999999999995</v>
      </c>
      <c r="AE6" s="1">
        <v>0.69269999999999998</v>
      </c>
    </row>
    <row r="7" spans="1:31" x14ac:dyDescent="0.4">
      <c r="A7" t="s">
        <v>6</v>
      </c>
      <c r="B7" s="1">
        <v>0.26569999999999999</v>
      </c>
      <c r="C7" s="1">
        <v>0.2737</v>
      </c>
      <c r="D7" s="1">
        <v>0.2737</v>
      </c>
      <c r="E7" s="1">
        <v>0.41170000000000001</v>
      </c>
      <c r="F7" s="1">
        <v>0.43669999999999998</v>
      </c>
      <c r="G7" s="1">
        <v>0.42969999999999997</v>
      </c>
      <c r="H7" s="1">
        <v>0.43969999999999998</v>
      </c>
      <c r="I7" s="1">
        <v>0.47270000000000001</v>
      </c>
      <c r="J7" s="1">
        <v>0.4677</v>
      </c>
      <c r="K7" s="1">
        <v>0.54469999999999996</v>
      </c>
      <c r="L7" s="1">
        <v>0.5837</v>
      </c>
      <c r="M7" s="1">
        <v>0.57169999999999999</v>
      </c>
      <c r="N7" s="1">
        <v>0.65569999999999995</v>
      </c>
      <c r="O7" s="1">
        <v>0.69969999999999999</v>
      </c>
      <c r="P7" s="1">
        <v>0.67469999999999997</v>
      </c>
      <c r="Q7" s="1">
        <v>0.73370000000000002</v>
      </c>
      <c r="R7" s="1">
        <v>0.77869999999999995</v>
      </c>
      <c r="S7" s="1">
        <v>0.74170000000000003</v>
      </c>
      <c r="T7" s="1">
        <v>0.73870000000000002</v>
      </c>
      <c r="U7" s="1">
        <v>0.78769999999999996</v>
      </c>
      <c r="V7" s="1">
        <v>0.73270000000000002</v>
      </c>
      <c r="W7" s="1">
        <v>0.72870000000000001</v>
      </c>
      <c r="X7" s="1">
        <v>0.78969999999999996</v>
      </c>
      <c r="Y7" s="1">
        <v>0.72370000000000001</v>
      </c>
      <c r="Z7" s="1">
        <v>0.7177</v>
      </c>
      <c r="AA7" s="1">
        <v>0.78369999999999995</v>
      </c>
      <c r="AB7" s="1">
        <v>0.7077</v>
      </c>
      <c r="AC7" s="1">
        <v>0.70469999999999999</v>
      </c>
      <c r="AD7" s="1">
        <v>0.77769999999999995</v>
      </c>
      <c r="AE7" s="1">
        <v>0.68869999999999998</v>
      </c>
    </row>
    <row r="8" spans="1:31" x14ac:dyDescent="0.4">
      <c r="A8" t="s">
        <v>7</v>
      </c>
      <c r="B8" s="1">
        <v>0.2737</v>
      </c>
      <c r="C8" s="1">
        <v>0.28670000000000001</v>
      </c>
      <c r="D8" s="1">
        <v>0.28070000000000001</v>
      </c>
      <c r="E8" s="1">
        <v>0.40970000000000001</v>
      </c>
      <c r="F8" s="1">
        <v>0.43069999999999997</v>
      </c>
      <c r="G8" s="1">
        <v>0.42169999999999996</v>
      </c>
      <c r="H8" s="1">
        <v>0.42169999999999996</v>
      </c>
      <c r="I8" s="1">
        <v>0.4577</v>
      </c>
      <c r="J8" s="1">
        <v>0.43969999999999998</v>
      </c>
      <c r="K8" s="1">
        <v>0.48670000000000002</v>
      </c>
      <c r="L8" s="1">
        <v>0.52969999999999995</v>
      </c>
      <c r="M8" s="1">
        <v>0.51469999999999994</v>
      </c>
      <c r="N8" s="1">
        <v>0.57569999999999999</v>
      </c>
      <c r="O8" s="1">
        <v>0.62270000000000003</v>
      </c>
      <c r="P8" s="1">
        <v>0.59970000000000001</v>
      </c>
      <c r="Q8" s="1">
        <v>0.66369999999999996</v>
      </c>
      <c r="R8" s="1">
        <v>0.7077</v>
      </c>
      <c r="S8" s="1">
        <v>0.67669999999999997</v>
      </c>
      <c r="T8" s="1">
        <v>0.72070000000000001</v>
      </c>
      <c r="U8" s="1">
        <v>0.76769999999999994</v>
      </c>
      <c r="V8" s="1">
        <v>0.72270000000000001</v>
      </c>
      <c r="W8" s="1">
        <v>0.72770000000000001</v>
      </c>
      <c r="X8" s="1">
        <v>0.77469999999999994</v>
      </c>
      <c r="Y8" s="1">
        <v>0.72170000000000001</v>
      </c>
      <c r="Z8" s="1">
        <v>0.7117</v>
      </c>
      <c r="AA8" s="1">
        <v>0.76769999999999994</v>
      </c>
      <c r="AB8" s="1">
        <v>0.70169999999999999</v>
      </c>
      <c r="AC8" s="1">
        <v>0.69969999999999999</v>
      </c>
      <c r="AD8" s="1">
        <v>0.76070000000000004</v>
      </c>
      <c r="AE8" s="1">
        <v>0.68469999999999998</v>
      </c>
    </row>
    <row r="9" spans="1:31" x14ac:dyDescent="0.4">
      <c r="A9" t="s">
        <v>8</v>
      </c>
      <c r="B9" s="1">
        <v>0.23769999999999997</v>
      </c>
      <c r="C9" s="1">
        <v>0.26569999999999999</v>
      </c>
      <c r="D9" s="1">
        <v>0.2697</v>
      </c>
      <c r="E9" s="1">
        <v>0.34870000000000001</v>
      </c>
      <c r="F9" s="1">
        <v>0.41070000000000001</v>
      </c>
      <c r="G9" s="1">
        <v>0.40670000000000001</v>
      </c>
      <c r="H9" s="1">
        <v>0.32669999999999999</v>
      </c>
      <c r="I9" s="1">
        <v>0.4007</v>
      </c>
      <c r="J9" s="1">
        <v>0.39169999999999999</v>
      </c>
      <c r="K9" s="1">
        <v>0.37569999999999998</v>
      </c>
      <c r="L9" s="1">
        <v>0.47070000000000001</v>
      </c>
      <c r="M9" s="1">
        <v>0.45569999999999999</v>
      </c>
      <c r="N9" s="1">
        <v>0.42269999999999996</v>
      </c>
      <c r="O9" s="1">
        <v>0.52969999999999995</v>
      </c>
      <c r="P9" s="1">
        <v>0.50770000000000004</v>
      </c>
      <c r="Q9" s="1">
        <v>0.4667</v>
      </c>
      <c r="R9" s="1">
        <v>0.56869999999999998</v>
      </c>
      <c r="S9" s="1">
        <v>0.54469999999999996</v>
      </c>
      <c r="T9" s="1">
        <v>0.48770000000000002</v>
      </c>
      <c r="U9" s="1">
        <v>0.62570000000000003</v>
      </c>
      <c r="V9" s="1">
        <v>0.60070000000000001</v>
      </c>
      <c r="W9" s="1">
        <v>0.53569999999999995</v>
      </c>
      <c r="X9" s="1">
        <v>0.66269999999999996</v>
      </c>
      <c r="Y9" s="1">
        <v>0.62970000000000004</v>
      </c>
      <c r="Z9" s="1">
        <v>0.54869999999999997</v>
      </c>
      <c r="AA9" s="1">
        <v>0.68969999999999998</v>
      </c>
      <c r="AB9" s="1">
        <v>0.63969999999999994</v>
      </c>
      <c r="AC9" s="1">
        <v>0.55569999999999997</v>
      </c>
      <c r="AD9" s="1">
        <v>0.68869999999999998</v>
      </c>
      <c r="AE9" s="1">
        <v>0.62970000000000004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workbookViewId="0">
      <selection activeCell="F22" sqref="F22"/>
    </sheetView>
  </sheetViews>
  <sheetFormatPr defaultRowHeight="13.9" x14ac:dyDescent="0.4"/>
  <sheetData>
    <row r="1" spans="1:31" x14ac:dyDescent="0.4">
      <c r="B1" s="2" t="s">
        <v>1</v>
      </c>
      <c r="C1" s="2"/>
      <c r="D1" s="2"/>
      <c r="E1" s="2" t="s">
        <v>9</v>
      </c>
      <c r="F1" s="2"/>
      <c r="G1" s="2"/>
      <c r="H1" s="2" t="s">
        <v>10</v>
      </c>
      <c r="I1" s="2"/>
      <c r="J1" s="2"/>
      <c r="K1" s="2" t="s">
        <v>11</v>
      </c>
      <c r="L1" s="2"/>
      <c r="M1" s="2"/>
      <c r="N1" s="2" t="s">
        <v>12</v>
      </c>
      <c r="O1" s="2"/>
      <c r="P1" s="2"/>
      <c r="Q1" s="2" t="s">
        <v>13</v>
      </c>
      <c r="R1" s="2"/>
      <c r="S1" s="2"/>
      <c r="T1" s="2" t="s">
        <v>14</v>
      </c>
      <c r="U1" s="2"/>
      <c r="V1" s="2"/>
      <c r="W1" s="2" t="s">
        <v>15</v>
      </c>
      <c r="X1" s="2"/>
      <c r="Y1" s="2"/>
      <c r="Z1" s="2" t="s">
        <v>16</v>
      </c>
      <c r="AA1" s="2"/>
      <c r="AB1" s="2"/>
      <c r="AC1" s="2" t="s">
        <v>17</v>
      </c>
      <c r="AD1" s="2"/>
      <c r="AE1" s="2"/>
    </row>
    <row r="2" spans="1:31" x14ac:dyDescent="0.4">
      <c r="A2" t="s">
        <v>0</v>
      </c>
      <c r="B2">
        <v>0.26569999999999999</v>
      </c>
      <c r="C2">
        <v>0.2767</v>
      </c>
      <c r="D2">
        <v>0.28370000000000001</v>
      </c>
      <c r="E2">
        <v>0.43469999999999998</v>
      </c>
      <c r="F2">
        <v>0.45269999999999999</v>
      </c>
      <c r="G2">
        <v>0.44969999999999999</v>
      </c>
      <c r="H2">
        <v>0.49669999999999997</v>
      </c>
      <c r="I2">
        <v>0.52669999999999995</v>
      </c>
      <c r="J2">
        <v>0.58069999999999999</v>
      </c>
      <c r="K2">
        <v>0.61170000000000002</v>
      </c>
      <c r="L2">
        <v>0.65569999999999995</v>
      </c>
      <c r="M2">
        <v>0.61570000000000003</v>
      </c>
      <c r="N2">
        <v>0.69869999999999999</v>
      </c>
      <c r="O2">
        <v>0.75170000000000003</v>
      </c>
      <c r="P2">
        <v>0.69469999999999998</v>
      </c>
      <c r="Q2">
        <v>0.72770000000000001</v>
      </c>
      <c r="R2">
        <v>0.77969999999999995</v>
      </c>
      <c r="S2">
        <v>0.7097</v>
      </c>
      <c r="T2">
        <v>0.7127</v>
      </c>
      <c r="U2">
        <v>0.77370000000000005</v>
      </c>
      <c r="V2">
        <v>0.69369999999999998</v>
      </c>
      <c r="W2">
        <v>0.7097</v>
      </c>
      <c r="X2">
        <v>0.77270000000000005</v>
      </c>
      <c r="Y2">
        <v>0.68369999999999997</v>
      </c>
      <c r="Z2">
        <v>0.69469999999999998</v>
      </c>
      <c r="AA2">
        <v>0.76870000000000005</v>
      </c>
      <c r="AB2">
        <v>0.67769999999999997</v>
      </c>
      <c r="AC2">
        <v>0.68269999999999997</v>
      </c>
      <c r="AD2">
        <v>0.76470000000000005</v>
      </c>
      <c r="AE2">
        <v>0.66669999999999996</v>
      </c>
    </row>
    <row r="3" spans="1:31" x14ac:dyDescent="0.4">
      <c r="A3" t="s">
        <v>2</v>
      </c>
      <c r="B3">
        <v>0.25969999999999999</v>
      </c>
      <c r="C3">
        <v>0.2707</v>
      </c>
      <c r="D3">
        <v>0.2707</v>
      </c>
      <c r="E3">
        <v>0.4607</v>
      </c>
      <c r="F3">
        <v>0.48970000000000002</v>
      </c>
      <c r="G3">
        <v>0.47870000000000001</v>
      </c>
      <c r="H3">
        <v>0.50170000000000003</v>
      </c>
      <c r="I3">
        <v>0.53069999999999995</v>
      </c>
      <c r="J3">
        <v>0.51470000000000005</v>
      </c>
      <c r="K3">
        <v>0.62670000000000003</v>
      </c>
      <c r="L3">
        <v>0.66269999999999996</v>
      </c>
      <c r="M3">
        <v>0.62270000000000003</v>
      </c>
      <c r="N3">
        <v>0.7107</v>
      </c>
      <c r="O3">
        <v>0.76170000000000004</v>
      </c>
      <c r="P3">
        <v>0.70269999999999999</v>
      </c>
      <c r="Q3">
        <v>0.74370000000000003</v>
      </c>
      <c r="R3">
        <v>0.78669999999999995</v>
      </c>
      <c r="S3">
        <v>0.71970000000000001</v>
      </c>
      <c r="T3">
        <v>0.72670000000000001</v>
      </c>
      <c r="U3">
        <v>0.78169999999999995</v>
      </c>
      <c r="V3">
        <v>0.70169999999999999</v>
      </c>
      <c r="W3">
        <v>0.7147</v>
      </c>
      <c r="X3">
        <v>0.77969999999999995</v>
      </c>
      <c r="Y3">
        <v>0.68869999999999998</v>
      </c>
      <c r="Z3">
        <v>0.70469999999999999</v>
      </c>
      <c r="AA3">
        <v>0.77270000000000005</v>
      </c>
      <c r="AB3">
        <v>0.67369999999999997</v>
      </c>
      <c r="AC3">
        <v>0.70069999999999999</v>
      </c>
      <c r="AD3">
        <v>0.77170000000000005</v>
      </c>
      <c r="AE3">
        <v>0.67469999999999997</v>
      </c>
    </row>
    <row r="4" spans="1:31" x14ac:dyDescent="0.4">
      <c r="A4" t="s">
        <v>3</v>
      </c>
      <c r="B4">
        <v>0.26069999999999999</v>
      </c>
      <c r="C4">
        <v>0.2787</v>
      </c>
      <c r="D4">
        <v>0.2747</v>
      </c>
      <c r="E4">
        <v>0.45669999999999999</v>
      </c>
      <c r="F4">
        <v>0.47170000000000001</v>
      </c>
      <c r="G4">
        <v>0.47970000000000002</v>
      </c>
      <c r="H4">
        <v>0.50870000000000004</v>
      </c>
      <c r="I4">
        <v>0.54669999999999996</v>
      </c>
      <c r="J4">
        <v>0.51570000000000005</v>
      </c>
      <c r="K4">
        <v>0.62070000000000003</v>
      </c>
      <c r="L4">
        <v>0.66869999999999996</v>
      </c>
      <c r="M4">
        <v>0.62370000000000003</v>
      </c>
      <c r="N4">
        <v>0.7077</v>
      </c>
      <c r="O4">
        <v>0.77170000000000005</v>
      </c>
      <c r="P4">
        <v>0.69969999999999999</v>
      </c>
      <c r="Q4">
        <v>0.73870000000000002</v>
      </c>
      <c r="R4">
        <v>0.79769999999999996</v>
      </c>
      <c r="S4">
        <v>0.7167</v>
      </c>
      <c r="T4">
        <v>0.72270000000000001</v>
      </c>
      <c r="U4">
        <v>0.79169999999999996</v>
      </c>
      <c r="V4">
        <v>0.69869999999999999</v>
      </c>
      <c r="W4">
        <v>0.7107</v>
      </c>
      <c r="X4">
        <v>0.79069999999999996</v>
      </c>
      <c r="Y4">
        <v>0.68569999999999998</v>
      </c>
      <c r="Z4">
        <v>0.69369999999999998</v>
      </c>
      <c r="AA4">
        <v>0.78469999999999995</v>
      </c>
      <c r="AB4">
        <v>0.67569999999999997</v>
      </c>
      <c r="AC4">
        <v>0.68569999999999998</v>
      </c>
      <c r="AD4">
        <v>0.78269999999999995</v>
      </c>
      <c r="AE4">
        <v>0.66569999999999996</v>
      </c>
    </row>
    <row r="5" spans="1:31" x14ac:dyDescent="0.4">
      <c r="A5" t="s">
        <v>4</v>
      </c>
      <c r="B5">
        <v>0.26569999999999999</v>
      </c>
      <c r="C5">
        <v>0.2787</v>
      </c>
      <c r="D5">
        <v>0.28570000000000001</v>
      </c>
      <c r="E5">
        <v>0.46870000000000001</v>
      </c>
      <c r="F5">
        <v>0.49469999999999997</v>
      </c>
      <c r="G5">
        <v>0.48670000000000002</v>
      </c>
      <c r="H5">
        <v>0.51370000000000005</v>
      </c>
      <c r="I5">
        <v>0.54769999999999996</v>
      </c>
      <c r="J5">
        <v>0.52470000000000006</v>
      </c>
      <c r="K5">
        <v>0.62370000000000003</v>
      </c>
      <c r="L5">
        <v>0.67069999999999996</v>
      </c>
      <c r="M5">
        <v>0.63370000000000004</v>
      </c>
      <c r="N5">
        <v>0.7097</v>
      </c>
      <c r="O5">
        <v>0.77070000000000005</v>
      </c>
      <c r="P5">
        <v>0.7107</v>
      </c>
      <c r="Q5">
        <v>0.74370000000000003</v>
      </c>
      <c r="R5">
        <v>0.80169999999999997</v>
      </c>
      <c r="S5">
        <v>0.72770000000000001</v>
      </c>
      <c r="T5">
        <v>0.72770000000000001</v>
      </c>
      <c r="U5">
        <v>0.79769999999999996</v>
      </c>
      <c r="V5">
        <v>0.7137</v>
      </c>
      <c r="W5">
        <v>0.7177</v>
      </c>
      <c r="X5">
        <v>0.79669999999999996</v>
      </c>
      <c r="Y5">
        <v>0.70369999999999999</v>
      </c>
      <c r="Z5">
        <v>0.70269999999999999</v>
      </c>
      <c r="AA5">
        <v>0.79169999999999996</v>
      </c>
      <c r="AB5">
        <v>0.69169999999999998</v>
      </c>
      <c r="AC5">
        <v>0.69169999999999998</v>
      </c>
      <c r="AD5">
        <v>0.78769999999999996</v>
      </c>
      <c r="AE5">
        <v>0.67769999999999997</v>
      </c>
    </row>
    <row r="6" spans="1:31" x14ac:dyDescent="0.4">
      <c r="A6" t="s">
        <v>5</v>
      </c>
      <c r="B6">
        <v>0.25869999999999999</v>
      </c>
      <c r="C6">
        <v>0.2757</v>
      </c>
      <c r="D6">
        <v>0.2797</v>
      </c>
      <c r="E6">
        <v>0.45669999999999999</v>
      </c>
      <c r="F6">
        <v>0.48670000000000002</v>
      </c>
      <c r="G6">
        <v>0.48270000000000002</v>
      </c>
      <c r="H6">
        <v>0.51470000000000005</v>
      </c>
      <c r="I6">
        <v>0.55569999999999997</v>
      </c>
      <c r="J6">
        <v>0.53369999999999995</v>
      </c>
      <c r="K6">
        <v>0.64470000000000005</v>
      </c>
      <c r="L6">
        <v>0.69469999999999998</v>
      </c>
      <c r="M6">
        <v>0.66669999999999996</v>
      </c>
      <c r="N6">
        <v>0.75170000000000003</v>
      </c>
      <c r="O6">
        <v>0.81969999999999998</v>
      </c>
      <c r="P6">
        <v>0.76670000000000005</v>
      </c>
      <c r="Q6">
        <v>0.81769999999999998</v>
      </c>
      <c r="R6">
        <v>0.88670000000000004</v>
      </c>
      <c r="S6">
        <v>0.81869999999999998</v>
      </c>
      <c r="T6">
        <v>0.82869999999999999</v>
      </c>
      <c r="U6">
        <v>0.90669999999999995</v>
      </c>
      <c r="V6">
        <v>0.82569999999999999</v>
      </c>
      <c r="W6">
        <v>0.82569999999999999</v>
      </c>
      <c r="X6">
        <v>0.90769999999999995</v>
      </c>
      <c r="Y6">
        <v>0.82469999999999999</v>
      </c>
      <c r="Z6">
        <v>0.80569999999999997</v>
      </c>
      <c r="AA6">
        <v>0.90169999999999995</v>
      </c>
      <c r="AB6">
        <v>0.8337</v>
      </c>
      <c r="AC6">
        <v>0.79469999999999996</v>
      </c>
      <c r="AD6">
        <v>0.89870000000000005</v>
      </c>
      <c r="AE6">
        <v>0.81069999999999998</v>
      </c>
    </row>
    <row r="7" spans="1:31" x14ac:dyDescent="0.4">
      <c r="A7" t="s">
        <v>6</v>
      </c>
      <c r="B7">
        <v>0.26169999999999999</v>
      </c>
      <c r="C7">
        <v>0.28070000000000001</v>
      </c>
      <c r="D7">
        <v>0.2787</v>
      </c>
      <c r="E7">
        <v>0.4627</v>
      </c>
      <c r="F7">
        <v>0.49370000000000003</v>
      </c>
      <c r="G7">
        <v>0.47070000000000001</v>
      </c>
      <c r="H7">
        <v>0.52969999999999995</v>
      </c>
      <c r="I7">
        <v>0.57269999999999999</v>
      </c>
      <c r="J7">
        <v>0.54069999999999996</v>
      </c>
      <c r="K7">
        <v>0.66769999999999996</v>
      </c>
      <c r="L7">
        <v>0.72570000000000001</v>
      </c>
      <c r="M7">
        <v>0.68269999999999997</v>
      </c>
      <c r="N7">
        <v>0.78469999999999995</v>
      </c>
      <c r="O7">
        <v>0.85970000000000002</v>
      </c>
      <c r="P7">
        <v>0.79469999999999996</v>
      </c>
      <c r="Q7">
        <v>0.86870000000000003</v>
      </c>
      <c r="R7">
        <v>0.95069999999999999</v>
      </c>
      <c r="S7">
        <v>0.86070000000000002</v>
      </c>
      <c r="T7">
        <v>0.89570000000000005</v>
      </c>
      <c r="U7">
        <v>0.98170000000000002</v>
      </c>
      <c r="V7">
        <v>0.88070000000000004</v>
      </c>
      <c r="W7">
        <v>0.88970000000000005</v>
      </c>
      <c r="X7">
        <v>0.98270000000000002</v>
      </c>
      <c r="Y7">
        <v>0.87070000000000003</v>
      </c>
      <c r="Z7">
        <v>0.87170000000000003</v>
      </c>
      <c r="AA7">
        <v>0.97870000000000001</v>
      </c>
      <c r="AB7">
        <v>0.85170000000000001</v>
      </c>
      <c r="AC7">
        <v>0.85670000000000002</v>
      </c>
      <c r="AD7">
        <v>0.97570000000000001</v>
      </c>
      <c r="AE7">
        <v>0.8347</v>
      </c>
    </row>
    <row r="8" spans="1:31" x14ac:dyDescent="0.4">
      <c r="A8" t="s">
        <v>7</v>
      </c>
      <c r="B8">
        <v>0.26869999999999999</v>
      </c>
      <c r="C8">
        <v>0.2777</v>
      </c>
      <c r="D8">
        <v>0.2787</v>
      </c>
      <c r="E8">
        <v>0.4647</v>
      </c>
      <c r="F8">
        <v>0.50070000000000003</v>
      </c>
      <c r="G8">
        <v>0.47670000000000001</v>
      </c>
      <c r="H8">
        <v>0.53769999999999996</v>
      </c>
      <c r="I8">
        <v>0.57569999999999999</v>
      </c>
      <c r="J8">
        <v>0.54469999999999996</v>
      </c>
      <c r="K8">
        <v>0.68669999999999998</v>
      </c>
      <c r="L8">
        <v>0.72970000000000002</v>
      </c>
      <c r="M8">
        <v>0.68769999999999998</v>
      </c>
      <c r="N8">
        <v>0.81469999999999998</v>
      </c>
      <c r="O8">
        <v>0.86170000000000002</v>
      </c>
      <c r="P8">
        <v>0.79869999999999997</v>
      </c>
      <c r="Q8">
        <v>0.90069999999999995</v>
      </c>
      <c r="R8">
        <v>0.9577</v>
      </c>
      <c r="S8">
        <v>0.86770000000000003</v>
      </c>
      <c r="T8">
        <v>0.93469999999999998</v>
      </c>
      <c r="U8">
        <v>0.99170000000000003</v>
      </c>
      <c r="V8">
        <v>0.88570000000000004</v>
      </c>
      <c r="W8">
        <v>0.93369999999999997</v>
      </c>
      <c r="X8">
        <v>0.99070000000000003</v>
      </c>
      <c r="Y8">
        <v>0.88070000000000004</v>
      </c>
      <c r="Z8">
        <v>0.93169999999999997</v>
      </c>
      <c r="AA8">
        <v>0.98570000000000002</v>
      </c>
      <c r="AB8">
        <v>0.85470000000000002</v>
      </c>
      <c r="AC8">
        <v>0.91769999999999996</v>
      </c>
      <c r="AD8">
        <v>0.98470000000000002</v>
      </c>
      <c r="AE8">
        <v>0.8357</v>
      </c>
    </row>
    <row r="9" spans="1:31" x14ac:dyDescent="0.4">
      <c r="A9" t="s">
        <v>8</v>
      </c>
      <c r="B9">
        <v>0.26869999999999999</v>
      </c>
      <c r="C9">
        <v>0.2757</v>
      </c>
      <c r="D9">
        <v>0.28170000000000001</v>
      </c>
      <c r="E9">
        <v>0.4617</v>
      </c>
      <c r="F9">
        <v>0.49769999999999998</v>
      </c>
      <c r="G9">
        <v>0.48170000000000002</v>
      </c>
      <c r="H9">
        <v>0.53569999999999995</v>
      </c>
      <c r="I9">
        <v>0.57769999999999999</v>
      </c>
      <c r="J9">
        <v>0.58069999999999999</v>
      </c>
      <c r="K9">
        <v>0.68569999999999998</v>
      </c>
      <c r="L9">
        <v>0.73370000000000002</v>
      </c>
      <c r="M9">
        <v>0.69869999999999999</v>
      </c>
      <c r="N9">
        <v>0.79969999999999997</v>
      </c>
      <c r="O9">
        <v>0.86170000000000002</v>
      </c>
      <c r="P9">
        <v>0.80169999999999997</v>
      </c>
      <c r="Q9">
        <v>0.88470000000000004</v>
      </c>
      <c r="R9">
        <v>0.95569999999999999</v>
      </c>
      <c r="S9">
        <v>0.86870000000000003</v>
      </c>
      <c r="T9">
        <v>0.91369999999999996</v>
      </c>
      <c r="U9">
        <v>0.99070000000000003</v>
      </c>
      <c r="V9">
        <v>0.88370000000000004</v>
      </c>
      <c r="W9">
        <v>0.90369999999999995</v>
      </c>
      <c r="X9">
        <v>0.99170000000000003</v>
      </c>
      <c r="Y9">
        <v>0.86970000000000003</v>
      </c>
      <c r="Z9">
        <v>0.88270000000000004</v>
      </c>
      <c r="AA9">
        <v>0.98570000000000002</v>
      </c>
      <c r="AB9">
        <v>0.84670000000000001</v>
      </c>
      <c r="AC9">
        <v>0.86370000000000002</v>
      </c>
      <c r="AD9">
        <v>0.98270000000000002</v>
      </c>
      <c r="AE9">
        <v>0.82869999999999999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BA03-4A36-487C-A3B1-F9692388C3F9}">
  <dimension ref="A1:Q19"/>
  <sheetViews>
    <sheetView workbookViewId="0">
      <selection activeCell="L22" sqref="L22"/>
    </sheetView>
  </sheetViews>
  <sheetFormatPr defaultRowHeight="13.9" x14ac:dyDescent="0.4"/>
  <sheetData>
    <row r="1" spans="1:17" x14ac:dyDescent="0.4">
      <c r="A1" t="s">
        <v>18</v>
      </c>
      <c r="B1" s="2" t="s">
        <v>1</v>
      </c>
      <c r="C1" s="2"/>
      <c r="D1" s="2"/>
      <c r="E1" s="2" t="s">
        <v>9</v>
      </c>
      <c r="F1" s="2"/>
      <c r="G1" s="2"/>
      <c r="N1" s="2"/>
      <c r="O1" s="2"/>
      <c r="P1" s="2"/>
      <c r="Q1" t="s">
        <v>18</v>
      </c>
    </row>
    <row r="2" spans="1:17" x14ac:dyDescent="0.4">
      <c r="A2" t="s">
        <v>0</v>
      </c>
      <c r="B2">
        <v>0.26569999999999999</v>
      </c>
      <c r="C2">
        <v>0.2767</v>
      </c>
      <c r="D2">
        <v>0.28370000000000001</v>
      </c>
      <c r="E2">
        <v>0.43469999999999998</v>
      </c>
      <c r="F2">
        <v>0.45269999999999999</v>
      </c>
      <c r="G2">
        <v>0.44969999999999999</v>
      </c>
      <c r="H2">
        <f>LN(B2)</f>
        <v>-1.3253874262163692</v>
      </c>
      <c r="I2">
        <f t="shared" ref="I2:M9" si="0">LN(C2)</f>
        <v>-1.2848213921892568</v>
      </c>
      <c r="J2">
        <f t="shared" si="0"/>
        <v>-1.2598379371673314</v>
      </c>
      <c r="K2">
        <f t="shared" si="0"/>
        <v>-0.83309914098739068</v>
      </c>
      <c r="L2">
        <f t="shared" si="0"/>
        <v>-0.79252562454022413</v>
      </c>
      <c r="M2">
        <f t="shared" si="0"/>
        <v>-0.79917458520547535</v>
      </c>
      <c r="N2">
        <f>K2-H2</f>
        <v>0.49228828522897849</v>
      </c>
      <c r="O2">
        <f>L2-I2</f>
        <v>0.49229576764903271</v>
      </c>
      <c r="P2">
        <f>M2-J2</f>
        <v>0.46066335196185604</v>
      </c>
      <c r="Q2" t="s">
        <v>0</v>
      </c>
    </row>
    <row r="3" spans="1:17" x14ac:dyDescent="0.4">
      <c r="A3" t="s">
        <v>2</v>
      </c>
      <c r="B3">
        <v>0.25969999999999999</v>
      </c>
      <c r="C3">
        <v>0.2707</v>
      </c>
      <c r="D3">
        <v>0.2707</v>
      </c>
      <c r="E3">
        <v>0.4607</v>
      </c>
      <c r="F3">
        <v>0.48970000000000002</v>
      </c>
      <c r="G3">
        <v>0.47870000000000001</v>
      </c>
      <c r="H3">
        <f t="shared" ref="H3:H19" si="1">LN(B3)</f>
        <v>-1.3482281603134343</v>
      </c>
      <c r="I3">
        <f t="shared" si="0"/>
        <v>-1.3067440823618817</v>
      </c>
      <c r="J3">
        <f t="shared" si="0"/>
        <v>-1.3067440823618817</v>
      </c>
      <c r="K3">
        <f t="shared" si="0"/>
        <v>-0.77500820704026574</v>
      </c>
      <c r="L3">
        <f t="shared" si="0"/>
        <v>-0.7139623202738653</v>
      </c>
      <c r="M3">
        <f t="shared" si="0"/>
        <v>-0.73668118258367365</v>
      </c>
      <c r="N3">
        <f t="shared" ref="N3:N9" si="2">K3-H3</f>
        <v>0.57321995327316855</v>
      </c>
      <c r="O3">
        <f t="shared" ref="O3:O9" si="3">L3-I3</f>
        <v>0.59278176208801636</v>
      </c>
      <c r="P3">
        <f t="shared" ref="P3:P9" si="4">M3-J3</f>
        <v>0.57006289977820801</v>
      </c>
      <c r="Q3" t="s">
        <v>2</v>
      </c>
    </row>
    <row r="4" spans="1:17" x14ac:dyDescent="0.4">
      <c r="A4" t="s">
        <v>3</v>
      </c>
      <c r="B4">
        <v>0.26069999999999999</v>
      </c>
      <c r="C4">
        <v>0.2787</v>
      </c>
      <c r="D4">
        <v>0.2747</v>
      </c>
      <c r="E4">
        <v>0.45669999999999999</v>
      </c>
      <c r="F4">
        <v>0.47170000000000001</v>
      </c>
      <c r="G4">
        <v>0.47970000000000002</v>
      </c>
      <c r="H4">
        <f t="shared" si="1"/>
        <v>-1.344384958042681</v>
      </c>
      <c r="I4">
        <f t="shared" si="0"/>
        <v>-1.2776193444942345</v>
      </c>
      <c r="J4">
        <f t="shared" si="0"/>
        <v>-1.2920756858809088</v>
      </c>
      <c r="K4">
        <f t="shared" si="0"/>
        <v>-0.78372855879118375</v>
      </c>
      <c r="L4">
        <f t="shared" si="0"/>
        <v>-0.751412088691921</v>
      </c>
      <c r="M4">
        <f t="shared" si="0"/>
        <v>-0.7345943704741188</v>
      </c>
      <c r="N4">
        <f t="shared" si="2"/>
        <v>0.56065639925149724</v>
      </c>
      <c r="O4">
        <f t="shared" si="3"/>
        <v>0.52620725580231353</v>
      </c>
      <c r="P4">
        <f t="shared" si="4"/>
        <v>0.55748131540679002</v>
      </c>
      <c r="Q4" t="s">
        <v>3</v>
      </c>
    </row>
    <row r="5" spans="1:17" x14ac:dyDescent="0.4">
      <c r="A5" t="s">
        <v>4</v>
      </c>
      <c r="B5">
        <v>0.26569999999999999</v>
      </c>
      <c r="C5">
        <v>0.2787</v>
      </c>
      <c r="D5">
        <v>0.28570000000000001</v>
      </c>
      <c r="E5">
        <v>0.46870000000000001</v>
      </c>
      <c r="F5">
        <v>0.49469999999999997</v>
      </c>
      <c r="G5">
        <v>0.48670000000000002</v>
      </c>
      <c r="H5">
        <f t="shared" si="1"/>
        <v>-1.3253874262163692</v>
      </c>
      <c r="I5">
        <f t="shared" si="0"/>
        <v>-1.2776193444942345</v>
      </c>
      <c r="J5">
        <f t="shared" si="0"/>
        <v>-1.2528129697454096</v>
      </c>
      <c r="K5">
        <f t="shared" si="0"/>
        <v>-0.75779237405347655</v>
      </c>
      <c r="L5">
        <f t="shared" si="0"/>
        <v>-0.70380376074847417</v>
      </c>
      <c r="M5">
        <f t="shared" si="0"/>
        <v>-0.72010736214272841</v>
      </c>
      <c r="N5">
        <f t="shared" si="2"/>
        <v>0.56759505216289263</v>
      </c>
      <c r="O5">
        <f t="shared" si="3"/>
        <v>0.57381558374576036</v>
      </c>
      <c r="P5">
        <f t="shared" si="4"/>
        <v>0.53270560760268115</v>
      </c>
      <c r="Q5" t="s">
        <v>4</v>
      </c>
    </row>
    <row r="6" spans="1:17" x14ac:dyDescent="0.4">
      <c r="A6" t="s">
        <v>5</v>
      </c>
      <c r="B6">
        <v>0.25869999999999999</v>
      </c>
      <c r="C6">
        <v>0.2757</v>
      </c>
      <c r="D6">
        <v>0.2797</v>
      </c>
      <c r="E6">
        <v>0.45669999999999999</v>
      </c>
      <c r="F6">
        <v>0.48670000000000002</v>
      </c>
      <c r="G6">
        <v>0.48270000000000002</v>
      </c>
      <c r="H6">
        <f t="shared" si="1"/>
        <v>-1.3520861897901537</v>
      </c>
      <c r="I6">
        <f t="shared" si="0"/>
        <v>-1.2884419609523861</v>
      </c>
      <c r="J6">
        <f t="shared" si="0"/>
        <v>-1.2740376787742229</v>
      </c>
      <c r="K6">
        <f t="shared" si="0"/>
        <v>-0.78372855879118375</v>
      </c>
      <c r="L6">
        <f t="shared" si="0"/>
        <v>-0.72010736214272841</v>
      </c>
      <c r="M6">
        <f t="shared" si="0"/>
        <v>-0.72835993631568985</v>
      </c>
      <c r="N6">
        <f t="shared" si="2"/>
        <v>0.56835763099896996</v>
      </c>
      <c r="O6">
        <f t="shared" si="3"/>
        <v>0.56833459880965764</v>
      </c>
      <c r="P6">
        <f t="shared" si="4"/>
        <v>0.54567774245853307</v>
      </c>
      <c r="Q6" t="s">
        <v>5</v>
      </c>
    </row>
    <row r="7" spans="1:17" x14ac:dyDescent="0.4">
      <c r="A7" t="s">
        <v>6</v>
      </c>
      <c r="B7">
        <v>0.26169999999999999</v>
      </c>
      <c r="C7">
        <v>0.28070000000000001</v>
      </c>
      <c r="D7">
        <v>0.2787</v>
      </c>
      <c r="E7">
        <v>0.4627</v>
      </c>
      <c r="F7">
        <v>0.49370000000000003</v>
      </c>
      <c r="G7">
        <v>0.47070000000000001</v>
      </c>
      <c r="H7">
        <f t="shared" si="1"/>
        <v>-1.340556469446037</v>
      </c>
      <c r="I7">
        <f t="shared" si="0"/>
        <v>-1.2704687956143002</v>
      </c>
      <c r="J7">
        <f t="shared" si="0"/>
        <v>-1.2776193444942345</v>
      </c>
      <c r="K7">
        <f t="shared" si="0"/>
        <v>-0.77067638306918318</v>
      </c>
      <c r="L7">
        <f t="shared" si="0"/>
        <v>-0.70582723371731981</v>
      </c>
      <c r="M7">
        <f t="shared" si="0"/>
        <v>-0.75353433057504049</v>
      </c>
      <c r="N7">
        <f t="shared" si="2"/>
        <v>0.56988008637685383</v>
      </c>
      <c r="O7">
        <f t="shared" si="3"/>
        <v>0.56464156189698034</v>
      </c>
      <c r="P7">
        <f t="shared" si="4"/>
        <v>0.52408501391919404</v>
      </c>
      <c r="Q7" t="s">
        <v>6</v>
      </c>
    </row>
    <row r="8" spans="1:17" x14ac:dyDescent="0.4">
      <c r="A8" t="s">
        <v>7</v>
      </c>
      <c r="B8">
        <v>0.26869999999999999</v>
      </c>
      <c r="C8">
        <v>0.2777</v>
      </c>
      <c r="D8">
        <v>0.2787</v>
      </c>
      <c r="E8">
        <v>0.4647</v>
      </c>
      <c r="F8">
        <v>0.50070000000000003</v>
      </c>
      <c r="G8">
        <v>0.47670000000000001</v>
      </c>
      <c r="H8">
        <f t="shared" si="1"/>
        <v>-1.3141597633606916</v>
      </c>
      <c r="I8">
        <f t="shared" si="0"/>
        <v>-1.2812138846693832</v>
      </c>
      <c r="J8">
        <f t="shared" si="0"/>
        <v>-1.2776193444942345</v>
      </c>
      <c r="K8">
        <f t="shared" si="0"/>
        <v>-0.76636324289120439</v>
      </c>
      <c r="L8">
        <f t="shared" si="0"/>
        <v>-0.69174815964623793</v>
      </c>
      <c r="M8">
        <f t="shared" si="0"/>
        <v>-0.74086791677135699</v>
      </c>
      <c r="N8">
        <f t="shared" si="2"/>
        <v>0.54779652046948724</v>
      </c>
      <c r="O8">
        <f t="shared" si="3"/>
        <v>0.58946572502314531</v>
      </c>
      <c r="P8">
        <f t="shared" si="4"/>
        <v>0.53675142772287754</v>
      </c>
      <c r="Q8" t="s">
        <v>7</v>
      </c>
    </row>
    <row r="9" spans="1:17" x14ac:dyDescent="0.4">
      <c r="A9" t="s">
        <v>8</v>
      </c>
      <c r="B9">
        <v>0.26869999999999999</v>
      </c>
      <c r="C9">
        <v>0.2757</v>
      </c>
      <c r="D9">
        <v>0.28170000000000001</v>
      </c>
      <c r="E9">
        <v>0.4617</v>
      </c>
      <c r="F9">
        <v>0.49769999999999998</v>
      </c>
      <c r="G9">
        <v>0.48170000000000002</v>
      </c>
      <c r="H9">
        <f t="shared" si="1"/>
        <v>-1.3141597633606916</v>
      </c>
      <c r="I9">
        <f t="shared" si="0"/>
        <v>-1.2884419609523861</v>
      </c>
      <c r="J9">
        <f t="shared" si="0"/>
        <v>-1.2669126040998102</v>
      </c>
      <c r="K9">
        <f t="shared" si="0"/>
        <v>-0.77283994946919377</v>
      </c>
      <c r="L9">
        <f t="shared" si="0"/>
        <v>-0.69775779311762864</v>
      </c>
      <c r="M9">
        <f t="shared" si="0"/>
        <v>-0.73043376534596194</v>
      </c>
      <c r="N9">
        <f t="shared" si="2"/>
        <v>0.54131981389149786</v>
      </c>
      <c r="O9">
        <f t="shared" si="3"/>
        <v>0.59068416783475741</v>
      </c>
      <c r="P9">
        <f t="shared" si="4"/>
        <v>0.53647883875384828</v>
      </c>
      <c r="Q9" t="s">
        <v>8</v>
      </c>
    </row>
    <row r="11" spans="1:17" x14ac:dyDescent="0.4">
      <c r="A11" t="s">
        <v>19</v>
      </c>
      <c r="B11" s="2" t="s">
        <v>1</v>
      </c>
      <c r="C11" s="2"/>
      <c r="D11" s="2"/>
      <c r="E11" s="2" t="s">
        <v>9</v>
      </c>
      <c r="F11" s="2"/>
      <c r="G11" s="2"/>
      <c r="Q11" t="s">
        <v>19</v>
      </c>
    </row>
    <row r="12" spans="1:17" x14ac:dyDescent="0.4">
      <c r="A12" t="s">
        <v>0</v>
      </c>
      <c r="B12" s="1">
        <v>0.25569999999999998</v>
      </c>
      <c r="C12" s="1">
        <v>0.2697</v>
      </c>
      <c r="D12" s="1">
        <v>0.26669999999999999</v>
      </c>
      <c r="E12" s="1">
        <v>0.4667</v>
      </c>
      <c r="F12" s="1">
        <v>0.47870000000000001</v>
      </c>
      <c r="G12" s="1">
        <v>0.4637</v>
      </c>
      <c r="H12">
        <f t="shared" si="1"/>
        <v>-1.3637503966849962</v>
      </c>
      <c r="I12">
        <f t="shared" ref="I12:I19" si="5">LN(C12)</f>
        <v>-1.3104450488364527</v>
      </c>
      <c r="J12">
        <f t="shared" ref="J12:J19" si="6">LN(D12)</f>
        <v>-1.3216308477941685</v>
      </c>
      <c r="K12">
        <f t="shared" ref="K12:K19" si="7">LN(E12)</f>
        <v>-0.76206862602636716</v>
      </c>
      <c r="L12">
        <f t="shared" ref="L12:L19" si="8">LN(F12)</f>
        <v>-0.73668118258367365</v>
      </c>
      <c r="M12">
        <f t="shared" ref="M12:M19" si="9">LN(G12)</f>
        <v>-0.76851748758472194</v>
      </c>
      <c r="N12">
        <f>K12-H12</f>
        <v>0.60168177065862904</v>
      </c>
      <c r="O12">
        <f>L12-I12</f>
        <v>0.57376386625277909</v>
      </c>
      <c r="P12">
        <f>M12-J12</f>
        <v>0.55311336020944657</v>
      </c>
      <c r="Q12" t="s">
        <v>0</v>
      </c>
    </row>
    <row r="13" spans="1:17" x14ac:dyDescent="0.4">
      <c r="A13" t="s">
        <v>2</v>
      </c>
      <c r="B13" s="1">
        <v>0.26769999999999999</v>
      </c>
      <c r="C13" s="1">
        <v>0.2747</v>
      </c>
      <c r="D13" s="1">
        <v>0.2757</v>
      </c>
      <c r="E13" s="1">
        <v>0.47770000000000001</v>
      </c>
      <c r="F13" s="1">
        <v>0.49170000000000003</v>
      </c>
      <c r="G13" s="1">
        <v>0.48570000000000002</v>
      </c>
      <c r="H13">
        <f t="shared" si="1"/>
        <v>-1.3178883284558303</v>
      </c>
      <c r="I13">
        <f t="shared" si="5"/>
        <v>-1.2920756858809088</v>
      </c>
      <c r="J13">
        <f t="shared" si="6"/>
        <v>-1.2884419609523861</v>
      </c>
      <c r="K13">
        <f t="shared" si="7"/>
        <v>-0.73877235858622081</v>
      </c>
      <c r="L13">
        <f t="shared" si="8"/>
        <v>-0.70988650456424329</v>
      </c>
      <c r="M13">
        <f t="shared" si="9"/>
        <v>-0.72216412963043786</v>
      </c>
      <c r="N13">
        <f t="shared" ref="N13:N19" si="10">K13-H13</f>
        <v>0.57911596986960945</v>
      </c>
      <c r="O13">
        <f t="shared" ref="O13:O19" si="11">L13-I13</f>
        <v>0.58218918131666553</v>
      </c>
      <c r="P13">
        <f t="shared" ref="P13:P19" si="12">M13-J13</f>
        <v>0.5662778313219482</v>
      </c>
      <c r="Q13" t="s">
        <v>2</v>
      </c>
    </row>
    <row r="14" spans="1:17" x14ac:dyDescent="0.4">
      <c r="A14" t="s">
        <v>3</v>
      </c>
      <c r="B14" s="1">
        <v>0.2727</v>
      </c>
      <c r="C14" s="1">
        <v>0.2787</v>
      </c>
      <c r="D14" s="1">
        <v>0.28070000000000001</v>
      </c>
      <c r="E14" s="1">
        <v>0.4627</v>
      </c>
      <c r="F14" s="1">
        <v>0.50370000000000004</v>
      </c>
      <c r="G14" s="1">
        <v>0.48870000000000002</v>
      </c>
      <c r="H14">
        <f t="shared" si="1"/>
        <v>-1.2993829891305941</v>
      </c>
      <c r="I14">
        <f t="shared" si="5"/>
        <v>-1.2776193444942345</v>
      </c>
      <c r="J14">
        <f t="shared" si="6"/>
        <v>-1.2704687956143002</v>
      </c>
      <c r="K14">
        <f t="shared" si="7"/>
        <v>-0.77067638306918318</v>
      </c>
      <c r="L14">
        <f t="shared" si="8"/>
        <v>-0.6857744262305322</v>
      </c>
      <c r="M14">
        <f t="shared" si="9"/>
        <v>-0.71600647470602785</v>
      </c>
      <c r="N14">
        <f t="shared" si="10"/>
        <v>0.52870660606141096</v>
      </c>
      <c r="O14">
        <f t="shared" si="11"/>
        <v>0.59184491826370234</v>
      </c>
      <c r="P14">
        <f t="shared" si="12"/>
        <v>0.5544623209082723</v>
      </c>
      <c r="Q14" t="s">
        <v>3</v>
      </c>
    </row>
    <row r="15" spans="1:17" x14ac:dyDescent="0.4">
      <c r="A15" t="s">
        <v>4</v>
      </c>
      <c r="B15" s="1">
        <v>0.26869999999999999</v>
      </c>
      <c r="C15" s="1">
        <v>0.2737</v>
      </c>
      <c r="D15" s="1">
        <v>0.2727</v>
      </c>
      <c r="E15" s="1">
        <v>0.44969999999999999</v>
      </c>
      <c r="F15" s="1">
        <v>0.49070000000000003</v>
      </c>
      <c r="G15" s="1">
        <v>0.47470000000000001</v>
      </c>
      <c r="H15">
        <f t="shared" si="1"/>
        <v>-1.3141597633606916</v>
      </c>
      <c r="I15">
        <f t="shared" si="5"/>
        <v>-1.2957226629355036</v>
      </c>
      <c r="J15">
        <f t="shared" si="6"/>
        <v>-1.2993829891305941</v>
      </c>
      <c r="K15">
        <f t="shared" si="7"/>
        <v>-0.79917458520547535</v>
      </c>
      <c r="L15">
        <f t="shared" si="8"/>
        <v>-0.71192233588627929</v>
      </c>
      <c r="M15">
        <f t="shared" si="9"/>
        <v>-0.74507225342486472</v>
      </c>
      <c r="N15">
        <f t="shared" si="10"/>
        <v>0.51498517815521627</v>
      </c>
      <c r="O15">
        <f t="shared" si="11"/>
        <v>0.58380032704922435</v>
      </c>
      <c r="P15">
        <f t="shared" si="12"/>
        <v>0.55431073570572942</v>
      </c>
      <c r="Q15" t="s">
        <v>4</v>
      </c>
    </row>
    <row r="16" spans="1:17" x14ac:dyDescent="0.4">
      <c r="A16" t="s">
        <v>5</v>
      </c>
      <c r="B16" s="1">
        <v>0.2747</v>
      </c>
      <c r="C16" s="1">
        <v>0.28370000000000001</v>
      </c>
      <c r="D16" s="1">
        <v>0.2797</v>
      </c>
      <c r="E16" s="1">
        <v>0.43069999999999997</v>
      </c>
      <c r="F16" s="1">
        <v>0.46870000000000001</v>
      </c>
      <c r="G16" s="1">
        <v>0.44869999999999999</v>
      </c>
      <c r="H16">
        <f t="shared" si="1"/>
        <v>-1.2920756858809088</v>
      </c>
      <c r="I16">
        <f t="shared" si="5"/>
        <v>-1.2598379371673314</v>
      </c>
      <c r="J16">
        <f t="shared" si="6"/>
        <v>-1.2740376787742229</v>
      </c>
      <c r="K16">
        <f t="shared" si="7"/>
        <v>-0.84234348692207217</v>
      </c>
      <c r="L16">
        <f t="shared" si="8"/>
        <v>-0.75779237405347655</v>
      </c>
      <c r="M16">
        <f t="shared" si="9"/>
        <v>-0.80140076600019938</v>
      </c>
      <c r="N16">
        <f t="shared" si="10"/>
        <v>0.44973219895883665</v>
      </c>
      <c r="O16">
        <f t="shared" si="11"/>
        <v>0.50204556311385484</v>
      </c>
      <c r="P16">
        <f t="shared" si="12"/>
        <v>0.47263691277402353</v>
      </c>
      <c r="Q16" t="s">
        <v>5</v>
      </c>
    </row>
    <row r="17" spans="1:17" x14ac:dyDescent="0.4">
      <c r="A17" t="s">
        <v>6</v>
      </c>
      <c r="B17" s="1">
        <v>0.26569999999999999</v>
      </c>
      <c r="C17" s="1">
        <v>0.2737</v>
      </c>
      <c r="D17" s="1">
        <v>0.2737</v>
      </c>
      <c r="E17" s="1">
        <v>0.41170000000000001</v>
      </c>
      <c r="F17" s="1">
        <v>0.43669999999999998</v>
      </c>
      <c r="G17" s="1">
        <v>0.42969999999999997</v>
      </c>
      <c r="H17">
        <f t="shared" si="1"/>
        <v>-1.3253874262163692</v>
      </c>
      <c r="I17">
        <f t="shared" si="5"/>
        <v>-1.2957226629355036</v>
      </c>
      <c r="J17">
        <f t="shared" si="6"/>
        <v>-1.2957226629355036</v>
      </c>
      <c r="K17">
        <f t="shared" si="7"/>
        <v>-0.887460350206278</v>
      </c>
      <c r="L17">
        <f t="shared" si="8"/>
        <v>-0.82850881849062186</v>
      </c>
      <c r="M17">
        <f t="shared" si="9"/>
        <v>-0.84466798820118771</v>
      </c>
      <c r="N17">
        <f t="shared" si="10"/>
        <v>0.43792707601009118</v>
      </c>
      <c r="O17">
        <f t="shared" si="11"/>
        <v>0.46721384444488179</v>
      </c>
      <c r="P17">
        <f t="shared" si="12"/>
        <v>0.45105467473431593</v>
      </c>
      <c r="Q17" t="s">
        <v>6</v>
      </c>
    </row>
    <row r="18" spans="1:17" x14ac:dyDescent="0.4">
      <c r="A18" t="s">
        <v>7</v>
      </c>
      <c r="B18" s="1">
        <v>0.2737</v>
      </c>
      <c r="C18" s="1">
        <v>0.28670000000000001</v>
      </c>
      <c r="D18" s="1">
        <v>0.28070000000000001</v>
      </c>
      <c r="E18" s="1">
        <v>0.40970000000000001</v>
      </c>
      <c r="F18" s="1">
        <v>0.43069999999999997</v>
      </c>
      <c r="G18" s="1">
        <v>0.42169999999999996</v>
      </c>
      <c r="H18">
        <f t="shared" si="1"/>
        <v>-1.2957226629355036</v>
      </c>
      <c r="I18">
        <f t="shared" si="5"/>
        <v>-1.2493189060928129</v>
      </c>
      <c r="J18">
        <f t="shared" si="6"/>
        <v>-1.2704687956143002</v>
      </c>
      <c r="K18">
        <f t="shared" si="7"/>
        <v>-0.89233009442931166</v>
      </c>
      <c r="L18">
        <f t="shared" si="8"/>
        <v>-0.84234348692207217</v>
      </c>
      <c r="M18">
        <f t="shared" si="9"/>
        <v>-0.86346111822962301</v>
      </c>
      <c r="N18">
        <f t="shared" si="10"/>
        <v>0.40339256850619198</v>
      </c>
      <c r="O18">
        <f t="shared" si="11"/>
        <v>0.40697541917074076</v>
      </c>
      <c r="P18">
        <f t="shared" si="12"/>
        <v>0.40700767738467714</v>
      </c>
      <c r="Q18" t="s">
        <v>7</v>
      </c>
    </row>
    <row r="19" spans="1:17" x14ac:dyDescent="0.4">
      <c r="A19" t="s">
        <v>8</v>
      </c>
      <c r="B19" s="1">
        <v>0.23769999999999997</v>
      </c>
      <c r="C19" s="1">
        <v>0.26569999999999999</v>
      </c>
      <c r="D19" s="1">
        <v>0.2697</v>
      </c>
      <c r="E19" s="1">
        <v>0.34870000000000001</v>
      </c>
      <c r="F19" s="1">
        <v>0.41070000000000001</v>
      </c>
      <c r="G19" s="1">
        <v>0.40670000000000001</v>
      </c>
      <c r="H19">
        <f t="shared" si="1"/>
        <v>-1.4367459046159889</v>
      </c>
      <c r="I19">
        <f t="shared" si="5"/>
        <v>-1.3253874262163692</v>
      </c>
      <c r="J19">
        <f t="shared" si="6"/>
        <v>-1.3104450488364527</v>
      </c>
      <c r="K19">
        <f t="shared" si="7"/>
        <v>-1.0535433253005315</v>
      </c>
      <c r="L19">
        <f t="shared" si="8"/>
        <v>-0.88989225801962413</v>
      </c>
      <c r="M19">
        <f t="shared" si="9"/>
        <v>-0.89967946606895821</v>
      </c>
      <c r="N19">
        <f t="shared" si="10"/>
        <v>0.38320257931545743</v>
      </c>
      <c r="O19">
        <f t="shared" si="11"/>
        <v>0.43549516819674505</v>
      </c>
      <c r="P19">
        <f t="shared" si="12"/>
        <v>0.41076558276749453</v>
      </c>
      <c r="Q19" t="s">
        <v>8</v>
      </c>
    </row>
  </sheetData>
  <mergeCells count="5">
    <mergeCell ref="B1:D1"/>
    <mergeCell ref="E1:G1"/>
    <mergeCell ref="B11:D11"/>
    <mergeCell ref="E11:G11"/>
    <mergeCell ref="N1:P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144F-FAE0-4C62-A182-D2D94EA29449}">
  <dimension ref="A1:AE9"/>
  <sheetViews>
    <sheetView workbookViewId="0">
      <selection activeCell="E13" sqref="E13"/>
    </sheetView>
  </sheetViews>
  <sheetFormatPr defaultRowHeight="13.9" x14ac:dyDescent="0.4"/>
  <sheetData>
    <row r="1" spans="1:31" x14ac:dyDescent="0.4">
      <c r="A1" t="s">
        <v>24</v>
      </c>
      <c r="B1" s="2" t="s">
        <v>21</v>
      </c>
      <c r="C1" s="2"/>
      <c r="D1" s="2"/>
      <c r="E1" s="2" t="s">
        <v>22</v>
      </c>
      <c r="F1" s="2"/>
      <c r="G1" s="2"/>
      <c r="H1" s="2" t="s">
        <v>23</v>
      </c>
      <c r="I1" s="2"/>
      <c r="J1" s="2"/>
      <c r="K1" s="2" t="s">
        <v>11</v>
      </c>
      <c r="L1" s="2"/>
      <c r="M1" s="2"/>
      <c r="N1" s="2" t="s">
        <v>12</v>
      </c>
      <c r="O1" s="2"/>
      <c r="P1" s="2"/>
      <c r="Q1" s="2" t="s">
        <v>13</v>
      </c>
      <c r="R1" s="2"/>
      <c r="S1" s="2"/>
      <c r="T1" s="2" t="s">
        <v>14</v>
      </c>
      <c r="U1" s="2"/>
      <c r="V1" s="2"/>
      <c r="W1" s="2" t="s">
        <v>15</v>
      </c>
      <c r="X1" s="2"/>
      <c r="Y1" s="2"/>
      <c r="Z1" s="2" t="s">
        <v>16</v>
      </c>
      <c r="AA1" s="2"/>
      <c r="AB1" s="2"/>
      <c r="AC1" s="2" t="s">
        <v>17</v>
      </c>
      <c r="AD1" s="2"/>
      <c r="AE1" s="2"/>
    </row>
    <row r="2" spans="1:31" ht="13.15" customHeight="1" x14ac:dyDescent="0.4">
      <c r="A2">
        <v>0</v>
      </c>
      <c r="B2">
        <v>5263.9812000000002</v>
      </c>
      <c r="C2">
        <v>5161.2902999999997</v>
      </c>
      <c r="D2">
        <v>5256.8428999999996</v>
      </c>
      <c r="E2">
        <v>1819.1558</v>
      </c>
      <c r="F2">
        <v>2045.1222</v>
      </c>
      <c r="G2">
        <v>2197.5414999999998</v>
      </c>
      <c r="H2">
        <v>4322.7300999999998</v>
      </c>
      <c r="I2">
        <v>4119.6844000000001</v>
      </c>
      <c r="J2">
        <v>4063.4232999999999</v>
      </c>
      <c r="K2">
        <v>4825.1630999999998</v>
      </c>
      <c r="L2">
        <v>4711.4053000000004</v>
      </c>
      <c r="M2">
        <v>4841.7254000000003</v>
      </c>
      <c r="N2">
        <v>5670.1333000000004</v>
      </c>
      <c r="O2">
        <v>5518.1588000000002</v>
      </c>
      <c r="P2">
        <v>5678.7624999999998</v>
      </c>
      <c r="Q2">
        <v>6258.2548999999999</v>
      </c>
      <c r="R2">
        <v>6166.0436</v>
      </c>
      <c r="S2">
        <v>6361.5722999999998</v>
      </c>
      <c r="T2">
        <v>6450.4090999999999</v>
      </c>
      <c r="U2">
        <v>6267.6329999999998</v>
      </c>
      <c r="V2">
        <v>6602.5734000000002</v>
      </c>
      <c r="W2">
        <v>6649.1917999999996</v>
      </c>
      <c r="X2">
        <v>6347.1333000000004</v>
      </c>
      <c r="Y2">
        <v>6593.5820999999996</v>
      </c>
      <c r="Z2">
        <v>6614.3464999999997</v>
      </c>
      <c r="AA2">
        <v>6357.0222000000003</v>
      </c>
      <c r="AB2">
        <v>6525.9506000000001</v>
      </c>
      <c r="AC2">
        <v>6619.8017</v>
      </c>
      <c r="AD2">
        <v>6422.8810000000003</v>
      </c>
      <c r="AE2">
        <v>6765.3656000000001</v>
      </c>
    </row>
    <row r="3" spans="1:31" x14ac:dyDescent="0.4">
      <c r="A3">
        <v>20</v>
      </c>
      <c r="B3">
        <v>5267.09</v>
      </c>
      <c r="C3">
        <v>5103.7494999999999</v>
      </c>
      <c r="D3">
        <v>5186.7972</v>
      </c>
      <c r="E3">
        <v>2160.3517000000002</v>
      </c>
      <c r="F3">
        <v>2375.4322000000002</v>
      </c>
      <c r="G3">
        <v>2312.1268</v>
      </c>
      <c r="H3">
        <v>4627.4817999999996</v>
      </c>
      <c r="I3">
        <v>4620.8310000000001</v>
      </c>
      <c r="J3">
        <v>4694.4283999999998</v>
      </c>
      <c r="K3">
        <v>5262.6475</v>
      </c>
      <c r="L3">
        <v>5128.4362000000001</v>
      </c>
      <c r="M3">
        <v>5197.3996999999999</v>
      </c>
      <c r="N3">
        <v>5974.21</v>
      </c>
      <c r="O3">
        <v>5861.4843000000001</v>
      </c>
      <c r="P3">
        <v>6074.2929999999997</v>
      </c>
      <c r="Q3">
        <v>6553.9893000000002</v>
      </c>
      <c r="R3">
        <v>6400.1516000000001</v>
      </c>
      <c r="S3">
        <v>6662.5326999999997</v>
      </c>
      <c r="T3">
        <v>6815.4470000000001</v>
      </c>
      <c r="U3">
        <v>6596.6653999999999</v>
      </c>
      <c r="V3">
        <v>6818.8843999999999</v>
      </c>
      <c r="W3">
        <v>6940.2026999999998</v>
      </c>
      <c r="X3">
        <v>6715.7678999999998</v>
      </c>
      <c r="Y3">
        <v>6964.3624</v>
      </c>
      <c r="Z3">
        <v>7014.4969000000001</v>
      </c>
      <c r="AA3">
        <v>6778.1076999999996</v>
      </c>
      <c r="AB3">
        <v>7073.0640000000003</v>
      </c>
      <c r="AC3">
        <v>7029.5718999999999</v>
      </c>
      <c r="AD3">
        <v>6827.7828</v>
      </c>
      <c r="AE3">
        <v>7038.2866000000004</v>
      </c>
    </row>
    <row r="4" spans="1:31" x14ac:dyDescent="0.4">
      <c r="A4">
        <v>50</v>
      </c>
      <c r="B4">
        <v>4961.4961000000003</v>
      </c>
      <c r="C4">
        <v>5174.0222000000003</v>
      </c>
      <c r="D4">
        <v>5169.2197999999999</v>
      </c>
      <c r="E4">
        <v>2941.4306999999999</v>
      </c>
      <c r="F4">
        <v>2852.8886000000002</v>
      </c>
      <c r="G4">
        <v>2846.3270000000002</v>
      </c>
      <c r="H4">
        <v>6281.6302999999998</v>
      </c>
      <c r="I4">
        <v>6179.2194</v>
      </c>
      <c r="J4">
        <v>6236.8471</v>
      </c>
      <c r="K4">
        <v>6511.2151000000003</v>
      </c>
      <c r="L4">
        <v>6415.0662000000002</v>
      </c>
      <c r="M4">
        <v>6543.3855000000003</v>
      </c>
      <c r="N4">
        <v>7134.5690999999997</v>
      </c>
      <c r="O4">
        <v>7048.1381000000001</v>
      </c>
      <c r="P4">
        <v>7195.1733000000004</v>
      </c>
      <c r="Q4">
        <v>7614.8289000000004</v>
      </c>
      <c r="R4">
        <v>7437.6332000000002</v>
      </c>
      <c r="S4">
        <v>7750.4441999999999</v>
      </c>
      <c r="T4">
        <v>7817.7758999999996</v>
      </c>
      <c r="U4">
        <v>7670.4328999999998</v>
      </c>
      <c r="V4">
        <v>8013.2449999999999</v>
      </c>
      <c r="W4">
        <v>7930.5416999999998</v>
      </c>
      <c r="X4">
        <v>7785.6869999999999</v>
      </c>
      <c r="Y4">
        <v>8096.3270000000002</v>
      </c>
      <c r="Z4">
        <v>7963.4129000000003</v>
      </c>
      <c r="AA4">
        <v>7905.7255999999998</v>
      </c>
      <c r="AB4">
        <v>8176.7875000000004</v>
      </c>
      <c r="AC4">
        <v>8109.4601000000002</v>
      </c>
      <c r="AD4">
        <v>7937.2659999999996</v>
      </c>
      <c r="AE4">
        <v>8293.0087999999996</v>
      </c>
    </row>
    <row r="5" spans="1:31" x14ac:dyDescent="0.4">
      <c r="A5">
        <v>100</v>
      </c>
      <c r="B5">
        <v>5254.9310999999998</v>
      </c>
      <c r="C5">
        <v>5242.9668000000001</v>
      </c>
      <c r="D5">
        <v>5408.8742000000002</v>
      </c>
      <c r="E5">
        <v>6248.6102000000001</v>
      </c>
      <c r="F5">
        <v>5948.6448</v>
      </c>
      <c r="G5">
        <v>6178.6391000000003</v>
      </c>
      <c r="H5">
        <v>17045.769799999998</v>
      </c>
      <c r="I5">
        <v>17280.421300000002</v>
      </c>
      <c r="J5">
        <v>17519.875899999999</v>
      </c>
      <c r="K5">
        <v>17169.903699999999</v>
      </c>
      <c r="L5">
        <v>16584.437300000001</v>
      </c>
      <c r="M5">
        <v>17475.6662</v>
      </c>
      <c r="N5">
        <v>15877.678400000001</v>
      </c>
      <c r="O5">
        <v>15660.5517</v>
      </c>
      <c r="P5">
        <v>16489.316500000001</v>
      </c>
      <c r="Q5">
        <v>15656.730600000001</v>
      </c>
      <c r="R5">
        <v>15536.2796</v>
      </c>
      <c r="S5">
        <v>16324.962299999999</v>
      </c>
      <c r="T5">
        <v>15967.8537</v>
      </c>
      <c r="U5">
        <v>15570.102999999999</v>
      </c>
      <c r="V5">
        <v>16677.9709</v>
      </c>
      <c r="W5">
        <v>16271.786899999999</v>
      </c>
      <c r="X5">
        <v>15643.3753</v>
      </c>
      <c r="Y5">
        <v>16636.4794</v>
      </c>
      <c r="Z5">
        <v>16180.584999999999</v>
      </c>
      <c r="AA5">
        <v>15865.249100000001</v>
      </c>
      <c r="AB5">
        <v>16892.851999999999</v>
      </c>
      <c r="AC5">
        <v>16199.7999</v>
      </c>
      <c r="AD5">
        <v>16060.6453</v>
      </c>
      <c r="AE5">
        <v>16915.915499999999</v>
      </c>
    </row>
    <row r="6" spans="1:31" x14ac:dyDescent="0.4">
      <c r="A6">
        <v>250</v>
      </c>
      <c r="B6">
        <v>5202.0385999999999</v>
      </c>
      <c r="C6">
        <v>5044.0605999999998</v>
      </c>
      <c r="D6">
        <v>5291.3836000000001</v>
      </c>
      <c r="E6">
        <v>7329.9279999999999</v>
      </c>
      <c r="F6">
        <v>7168.7646999999997</v>
      </c>
      <c r="G6">
        <v>7831.5132999999996</v>
      </c>
      <c r="H6">
        <v>24420.5193</v>
      </c>
      <c r="I6">
        <v>25594.652999999998</v>
      </c>
      <c r="J6">
        <v>25491.2245</v>
      </c>
      <c r="K6">
        <v>32592.903999999999</v>
      </c>
      <c r="L6">
        <v>33202.768600000003</v>
      </c>
      <c r="M6">
        <v>34124.774799999999</v>
      </c>
      <c r="N6">
        <v>34643.631600000001</v>
      </c>
      <c r="O6">
        <v>34090.358999999997</v>
      </c>
      <c r="P6">
        <v>35367.489699999998</v>
      </c>
      <c r="Q6">
        <v>32900.884299999998</v>
      </c>
      <c r="R6">
        <v>32155.032999999999</v>
      </c>
      <c r="S6">
        <v>33720.154699999999</v>
      </c>
      <c r="T6">
        <v>33598.213100000001</v>
      </c>
      <c r="U6">
        <v>32582.106500000002</v>
      </c>
      <c r="V6">
        <v>33973.013500000001</v>
      </c>
      <c r="W6">
        <v>33829.4061</v>
      </c>
      <c r="X6">
        <v>32687.727200000001</v>
      </c>
      <c r="Y6">
        <v>34334.210899999998</v>
      </c>
      <c r="Z6">
        <v>34273.121599999999</v>
      </c>
      <c r="AA6">
        <v>33017.579400000002</v>
      </c>
      <c r="AB6">
        <v>34629.445899999999</v>
      </c>
      <c r="AC6">
        <v>34177.664299999997</v>
      </c>
      <c r="AD6">
        <v>33177.010300000002</v>
      </c>
      <c r="AE6">
        <v>34649.920599999998</v>
      </c>
    </row>
    <row r="7" spans="1:31" x14ac:dyDescent="0.4">
      <c r="A7">
        <v>500</v>
      </c>
      <c r="B7">
        <v>5517.5009</v>
      </c>
      <c r="C7">
        <v>5323.3467000000001</v>
      </c>
      <c r="D7">
        <v>5414.6876000000002</v>
      </c>
      <c r="E7">
        <v>6456.1574000000001</v>
      </c>
      <c r="F7">
        <v>6207.9231</v>
      </c>
      <c r="G7">
        <v>6523.1557000000003</v>
      </c>
      <c r="H7">
        <v>22760.973399999999</v>
      </c>
      <c r="I7">
        <v>24095.620900000002</v>
      </c>
      <c r="J7">
        <v>23790.891599999999</v>
      </c>
      <c r="K7">
        <v>35379.107799999998</v>
      </c>
      <c r="L7">
        <v>37282.8508</v>
      </c>
      <c r="M7">
        <v>36924.960599999999</v>
      </c>
      <c r="N7">
        <v>42347.11</v>
      </c>
      <c r="O7">
        <v>44271.830800000003</v>
      </c>
      <c r="P7">
        <v>44155.921199999997</v>
      </c>
      <c r="Q7">
        <v>44335.559500000003</v>
      </c>
      <c r="R7">
        <v>45514.318700000003</v>
      </c>
      <c r="S7">
        <v>45366.050999999999</v>
      </c>
      <c r="T7">
        <v>45244.3482</v>
      </c>
      <c r="U7">
        <v>45378.951399999998</v>
      </c>
      <c r="V7">
        <v>46297.256699999998</v>
      </c>
      <c r="W7">
        <v>45507.0674</v>
      </c>
      <c r="X7">
        <v>45742.687100000003</v>
      </c>
      <c r="Y7">
        <v>46323.061999999998</v>
      </c>
      <c r="Z7">
        <v>46044.308199999999</v>
      </c>
      <c r="AA7">
        <v>46118.412700000001</v>
      </c>
      <c r="AB7">
        <v>47069.379699999998</v>
      </c>
      <c r="AC7">
        <v>46192.706100000003</v>
      </c>
      <c r="AD7">
        <v>46519.223400000003</v>
      </c>
      <c r="AE7">
        <v>48048.497199999998</v>
      </c>
    </row>
    <row r="8" spans="1:31" x14ac:dyDescent="0.4">
      <c r="A8">
        <v>750</v>
      </c>
      <c r="B8">
        <v>5250.2740000000003</v>
      </c>
      <c r="C8">
        <v>5057.5514000000003</v>
      </c>
      <c r="D8">
        <v>5343.7834000000003</v>
      </c>
      <c r="E8">
        <v>4769.3433999999997</v>
      </c>
      <c r="F8">
        <v>4506.6171000000004</v>
      </c>
      <c r="G8">
        <v>4768.7929999999997</v>
      </c>
      <c r="H8">
        <v>16293.5736</v>
      </c>
      <c r="I8">
        <v>16218.0468</v>
      </c>
      <c r="J8">
        <v>16877.416399999998</v>
      </c>
      <c r="K8">
        <v>25779.741099999999</v>
      </c>
      <c r="L8">
        <v>26012.837500000001</v>
      </c>
      <c r="M8">
        <v>27027.3946</v>
      </c>
      <c r="N8">
        <v>38551.328800000003</v>
      </c>
      <c r="O8">
        <v>39788.019899999999</v>
      </c>
      <c r="P8">
        <v>40416.875099999997</v>
      </c>
      <c r="Q8">
        <v>48146.753100000002</v>
      </c>
      <c r="R8">
        <v>50329.2356</v>
      </c>
      <c r="S8">
        <v>50704.8914</v>
      </c>
      <c r="T8">
        <v>53263.493799999997</v>
      </c>
      <c r="U8">
        <v>54629.412499999999</v>
      </c>
      <c r="V8">
        <v>55356.302799999998</v>
      </c>
      <c r="W8">
        <v>54576.061600000001</v>
      </c>
      <c r="X8">
        <v>55780.302100000001</v>
      </c>
      <c r="Y8">
        <v>56347.512799999997</v>
      </c>
      <c r="Z8">
        <v>55138.400999999998</v>
      </c>
      <c r="AA8">
        <v>56567.669699999999</v>
      </c>
      <c r="AB8">
        <v>57357.845200000003</v>
      </c>
      <c r="AC8">
        <v>56022.581100000003</v>
      </c>
      <c r="AD8">
        <v>56894.965199999999</v>
      </c>
      <c r="AE8">
        <v>58286.841</v>
      </c>
    </row>
    <row r="9" spans="1:31" x14ac:dyDescent="0.4">
      <c r="A9">
        <v>1000</v>
      </c>
      <c r="B9">
        <v>5321.8342000000002</v>
      </c>
      <c r="C9">
        <v>5438.4643999999998</v>
      </c>
      <c r="D9">
        <v>5602.5213000000003</v>
      </c>
      <c r="E9">
        <v>3805.5635000000002</v>
      </c>
      <c r="F9">
        <v>3537.8622</v>
      </c>
      <c r="G9">
        <v>4133.2677999999996</v>
      </c>
      <c r="H9">
        <v>10655.0352</v>
      </c>
      <c r="I9">
        <v>12535.5628</v>
      </c>
      <c r="J9">
        <v>13385.2438</v>
      </c>
      <c r="K9">
        <v>15336.7048</v>
      </c>
      <c r="L9">
        <v>17607.8181</v>
      </c>
      <c r="M9">
        <v>18595.567299999999</v>
      </c>
      <c r="N9">
        <v>21007.807000000001</v>
      </c>
      <c r="O9">
        <v>25538.9843</v>
      </c>
      <c r="P9">
        <v>27299.5864</v>
      </c>
      <c r="Q9">
        <v>28892.222000000002</v>
      </c>
      <c r="R9">
        <v>36861.262499999997</v>
      </c>
      <c r="S9">
        <v>39395.997799999997</v>
      </c>
      <c r="T9">
        <v>40131.228199999998</v>
      </c>
      <c r="U9">
        <v>47121.623800000001</v>
      </c>
      <c r="V9">
        <v>50649.242599999998</v>
      </c>
      <c r="W9">
        <v>47855.142800000001</v>
      </c>
      <c r="X9">
        <v>53399.7284</v>
      </c>
      <c r="Y9">
        <v>56260.123899999999</v>
      </c>
      <c r="Z9">
        <v>52075.815600000002</v>
      </c>
      <c r="AA9">
        <v>54883.282599999999</v>
      </c>
      <c r="AB9">
        <v>58069.407500000001</v>
      </c>
      <c r="AC9">
        <v>53850.998699999996</v>
      </c>
      <c r="AD9">
        <v>56115.870499999997</v>
      </c>
      <c r="AE9">
        <v>59029.6967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190A-53AE-4D4D-9A94-7FA19BEC1499}">
  <dimension ref="A1:AE9"/>
  <sheetViews>
    <sheetView workbookViewId="0">
      <selection sqref="A1:XFD1"/>
    </sheetView>
  </sheetViews>
  <sheetFormatPr defaultRowHeight="13.9" x14ac:dyDescent="0.4"/>
  <sheetData>
    <row r="1" spans="1:31" x14ac:dyDescent="0.4">
      <c r="A1" t="s">
        <v>20</v>
      </c>
      <c r="B1" s="2" t="s">
        <v>21</v>
      </c>
      <c r="C1" s="2"/>
      <c r="D1" s="2"/>
      <c r="E1" s="2" t="s">
        <v>22</v>
      </c>
      <c r="F1" s="2"/>
      <c r="G1" s="2"/>
      <c r="H1" s="2" t="s">
        <v>23</v>
      </c>
      <c r="I1" s="2"/>
      <c r="J1" s="2"/>
      <c r="K1" s="2" t="s">
        <v>11</v>
      </c>
      <c r="L1" s="2"/>
      <c r="M1" s="2"/>
      <c r="N1" s="2" t="s">
        <v>12</v>
      </c>
      <c r="O1" s="2"/>
      <c r="P1" s="2"/>
      <c r="Q1" s="2" t="s">
        <v>13</v>
      </c>
      <c r="R1" s="2"/>
      <c r="S1" s="2"/>
      <c r="T1" s="2" t="s">
        <v>14</v>
      </c>
      <c r="U1" s="2"/>
      <c r="V1" s="2"/>
      <c r="W1" s="2" t="s">
        <v>15</v>
      </c>
      <c r="X1" s="2"/>
      <c r="Y1" s="2"/>
      <c r="Z1" s="2" t="s">
        <v>16</v>
      </c>
      <c r="AA1" s="2"/>
      <c r="AB1" s="2"/>
      <c r="AC1" s="2" t="s">
        <v>17</v>
      </c>
      <c r="AD1" s="2"/>
      <c r="AE1" s="2"/>
    </row>
    <row r="2" spans="1:31" x14ac:dyDescent="0.4">
      <c r="A2">
        <v>0</v>
      </c>
      <c r="B2">
        <v>173.1276</v>
      </c>
      <c r="C2">
        <v>126.49079999999999</v>
      </c>
      <c r="D2">
        <v>183.29220000000001</v>
      </c>
      <c r="E2">
        <v>124.2236</v>
      </c>
      <c r="F2">
        <v>90.567700000000002</v>
      </c>
      <c r="G2">
        <v>137.86969999999999</v>
      </c>
      <c r="H2">
        <v>237.56790000000001</v>
      </c>
      <c r="I2">
        <v>168.97659999999999</v>
      </c>
      <c r="J2">
        <v>160.1515</v>
      </c>
      <c r="K2">
        <v>168.38319999999999</v>
      </c>
      <c r="L2">
        <v>150.9837</v>
      </c>
      <c r="M2">
        <v>168.9134</v>
      </c>
      <c r="N2">
        <v>153.14150000000001</v>
      </c>
      <c r="O2">
        <v>152.98660000000001</v>
      </c>
      <c r="P2">
        <v>164.09960000000001</v>
      </c>
      <c r="Q2">
        <v>252.85140000000001</v>
      </c>
      <c r="R2">
        <v>264.20420000000001</v>
      </c>
      <c r="S2">
        <v>262.08260000000001</v>
      </c>
      <c r="T2">
        <v>332.53820000000002</v>
      </c>
      <c r="U2">
        <v>307.61279999999999</v>
      </c>
      <c r="V2">
        <v>328.67230000000001</v>
      </c>
      <c r="W2">
        <v>300.1268</v>
      </c>
      <c r="X2">
        <v>337.77659999999997</v>
      </c>
      <c r="Y2">
        <v>318.85329999999999</v>
      </c>
      <c r="Z2">
        <v>322.44130000000001</v>
      </c>
      <c r="AA2">
        <v>334.33069999999998</v>
      </c>
      <c r="AB2">
        <v>314.29840000000002</v>
      </c>
      <c r="AC2">
        <v>288.56009999999998</v>
      </c>
      <c r="AD2">
        <v>295.54070000000002</v>
      </c>
      <c r="AE2">
        <v>317.98410000000001</v>
      </c>
    </row>
    <row r="3" spans="1:31" x14ac:dyDescent="0.4">
      <c r="A3">
        <v>20</v>
      </c>
      <c r="B3">
        <v>227.18520000000001</v>
      </c>
      <c r="C3">
        <v>177.31809999999999</v>
      </c>
      <c r="D3">
        <v>158.84739999999999</v>
      </c>
      <c r="E3">
        <v>99.848100000000002</v>
      </c>
      <c r="F3">
        <v>85.766800000000003</v>
      </c>
      <c r="G3">
        <v>54.313800000000001</v>
      </c>
      <c r="H3">
        <v>107.634</v>
      </c>
      <c r="I3">
        <v>175.24019999999999</v>
      </c>
      <c r="J3">
        <v>132.11580000000001</v>
      </c>
      <c r="K3">
        <v>154.779</v>
      </c>
      <c r="L3">
        <v>158.4427</v>
      </c>
      <c r="M3">
        <v>168.62049999999999</v>
      </c>
      <c r="N3">
        <v>164.62639999999999</v>
      </c>
      <c r="O3">
        <v>147.0395</v>
      </c>
      <c r="P3">
        <v>159.3852</v>
      </c>
      <c r="Q3">
        <v>250.10079999999999</v>
      </c>
      <c r="R3">
        <v>256.7688</v>
      </c>
      <c r="S3">
        <v>295.95659999999998</v>
      </c>
      <c r="T3">
        <v>320.6275</v>
      </c>
      <c r="U3">
        <v>315.97800000000001</v>
      </c>
      <c r="V3">
        <v>350.5772</v>
      </c>
      <c r="W3">
        <v>363.78899999999999</v>
      </c>
      <c r="X3">
        <v>328.33139999999997</v>
      </c>
      <c r="Y3">
        <v>365.90679999999998</v>
      </c>
      <c r="Z3">
        <v>306.51339999999999</v>
      </c>
      <c r="AA3">
        <v>377.89569999999998</v>
      </c>
      <c r="AB3">
        <v>374.05369999999999</v>
      </c>
      <c r="AC3">
        <v>368.20319999999998</v>
      </c>
      <c r="AD3">
        <v>370.6103</v>
      </c>
      <c r="AE3">
        <v>394.24930000000001</v>
      </c>
    </row>
    <row r="4" spans="1:31" x14ac:dyDescent="0.4">
      <c r="A4">
        <v>50</v>
      </c>
      <c r="B4">
        <v>203.2988</v>
      </c>
      <c r="C4">
        <v>211.69720000000001</v>
      </c>
      <c r="D4">
        <v>163.8151</v>
      </c>
      <c r="E4">
        <v>67.878299999999996</v>
      </c>
      <c r="F4">
        <v>72.079700000000003</v>
      </c>
      <c r="G4">
        <v>89.639399999999995</v>
      </c>
      <c r="H4">
        <v>220.16909999999999</v>
      </c>
      <c r="I4">
        <v>124.3827</v>
      </c>
      <c r="J4">
        <v>224.93700000000001</v>
      </c>
      <c r="K4">
        <v>193.33009999999999</v>
      </c>
      <c r="L4">
        <v>128.60769999999999</v>
      </c>
      <c r="M4">
        <v>166.74680000000001</v>
      </c>
      <c r="N4">
        <v>170.97640000000001</v>
      </c>
      <c r="O4">
        <v>189.1927</v>
      </c>
      <c r="P4">
        <v>201.51490000000001</v>
      </c>
      <c r="Q4">
        <v>297.82049999999998</v>
      </c>
      <c r="R4">
        <v>359.78440000000001</v>
      </c>
      <c r="S4">
        <v>357.1927</v>
      </c>
      <c r="T4">
        <v>488.4461</v>
      </c>
      <c r="U4">
        <v>423.14010000000002</v>
      </c>
      <c r="V4">
        <v>506.65519999999998</v>
      </c>
      <c r="W4">
        <v>510.76400000000001</v>
      </c>
      <c r="X4">
        <v>476.79270000000002</v>
      </c>
      <c r="Y4">
        <v>552.71979999999996</v>
      </c>
      <c r="Z4">
        <v>540.57950000000005</v>
      </c>
      <c r="AA4">
        <v>495.73090000000002</v>
      </c>
      <c r="AB4">
        <v>507.62169999999998</v>
      </c>
      <c r="AC4">
        <v>530.84439999999995</v>
      </c>
      <c r="AD4">
        <v>479.11079999999998</v>
      </c>
      <c r="AE4">
        <v>551.29939999999999</v>
      </c>
    </row>
    <row r="5" spans="1:31" x14ac:dyDescent="0.4">
      <c r="A5">
        <v>100</v>
      </c>
      <c r="B5">
        <v>229.5822</v>
      </c>
      <c r="C5">
        <v>355.22070000000002</v>
      </c>
      <c r="D5">
        <v>297.51490000000001</v>
      </c>
      <c r="E5">
        <v>29.869900000000001</v>
      </c>
      <c r="F5">
        <v>66.707099999999997</v>
      </c>
      <c r="G5">
        <v>76.022199999999998</v>
      </c>
      <c r="H5">
        <v>181.0395</v>
      </c>
      <c r="I5">
        <v>173.45259999999999</v>
      </c>
      <c r="J5">
        <v>186.77340000000001</v>
      </c>
      <c r="K5">
        <v>248.51689999999999</v>
      </c>
      <c r="L5">
        <v>162.51679999999999</v>
      </c>
      <c r="M5">
        <v>246.17330000000001</v>
      </c>
      <c r="N5">
        <v>276.173</v>
      </c>
      <c r="O5">
        <v>263.39690000000002</v>
      </c>
      <c r="P5">
        <v>313.77519999999998</v>
      </c>
      <c r="Q5">
        <v>844.42650000000003</v>
      </c>
      <c r="R5">
        <v>778.346</v>
      </c>
      <c r="S5">
        <v>1157.0702000000001</v>
      </c>
      <c r="T5">
        <v>1433.2828999999999</v>
      </c>
      <c r="U5">
        <v>1209.7280000000001</v>
      </c>
      <c r="V5">
        <v>1755.6396</v>
      </c>
      <c r="W5">
        <v>1574.4739999999999</v>
      </c>
      <c r="X5">
        <v>1255.1776</v>
      </c>
      <c r="Y5">
        <v>1843.115</v>
      </c>
      <c r="Z5">
        <v>1596.6984</v>
      </c>
      <c r="AA5">
        <v>1273.2094999999999</v>
      </c>
      <c r="AB5">
        <v>1879.4275</v>
      </c>
      <c r="AC5">
        <v>1661.1248000000001</v>
      </c>
      <c r="AD5">
        <v>1287.2920999999999</v>
      </c>
      <c r="AE5">
        <v>1847.4250999999999</v>
      </c>
    </row>
    <row r="6" spans="1:31" x14ac:dyDescent="0.4">
      <c r="A6">
        <v>250</v>
      </c>
      <c r="B6">
        <v>382.68259999999998</v>
      </c>
      <c r="C6">
        <v>246.64490000000001</v>
      </c>
      <c r="D6">
        <v>260.9939</v>
      </c>
      <c r="E6">
        <v>129.18770000000001</v>
      </c>
      <c r="F6">
        <v>127.38849999999999</v>
      </c>
      <c r="G6">
        <v>155.376</v>
      </c>
      <c r="H6">
        <v>608.12120000000004</v>
      </c>
      <c r="I6">
        <v>611.84090000000003</v>
      </c>
      <c r="J6">
        <v>725.12649999999996</v>
      </c>
      <c r="K6">
        <v>1560.4157</v>
      </c>
      <c r="L6">
        <v>1425.0755999999999</v>
      </c>
      <c r="M6">
        <v>1930.4034999999999</v>
      </c>
      <c r="N6">
        <v>3200.7449999999999</v>
      </c>
      <c r="O6">
        <v>2971.819</v>
      </c>
      <c r="P6">
        <v>3955.915</v>
      </c>
      <c r="Q6">
        <v>11137.3364</v>
      </c>
      <c r="R6">
        <v>12289.3876</v>
      </c>
      <c r="S6">
        <v>15272.9938</v>
      </c>
      <c r="T6">
        <v>19128.7559</v>
      </c>
      <c r="U6">
        <v>17890.151099999999</v>
      </c>
      <c r="V6">
        <v>21395.179800000002</v>
      </c>
      <c r="W6">
        <v>19812.280500000001</v>
      </c>
      <c r="X6">
        <v>18541.368299999998</v>
      </c>
      <c r="Y6">
        <v>21674.548299999999</v>
      </c>
      <c r="Z6">
        <v>20250.7137</v>
      </c>
      <c r="AA6">
        <v>18812.2435</v>
      </c>
      <c r="AB6">
        <v>21390.188300000002</v>
      </c>
      <c r="AC6">
        <v>20098.1502</v>
      </c>
      <c r="AD6">
        <v>18810.504099999998</v>
      </c>
      <c r="AE6">
        <v>21569.0144</v>
      </c>
    </row>
    <row r="7" spans="1:31" x14ac:dyDescent="0.4">
      <c r="A7">
        <v>500</v>
      </c>
      <c r="B7">
        <v>191.05850000000001</v>
      </c>
      <c r="C7">
        <v>199.50120000000001</v>
      </c>
      <c r="D7">
        <v>287.04700000000003</v>
      </c>
      <c r="E7">
        <v>142.64099999999999</v>
      </c>
      <c r="F7">
        <v>113.42919999999999</v>
      </c>
      <c r="G7">
        <v>161.46170000000001</v>
      </c>
      <c r="H7">
        <v>1851.9917</v>
      </c>
      <c r="I7">
        <v>1716.4309000000001</v>
      </c>
      <c r="J7">
        <v>1977.0668000000001</v>
      </c>
      <c r="K7">
        <v>4257.9003000000002</v>
      </c>
      <c r="L7">
        <v>3770.1529999999998</v>
      </c>
      <c r="M7">
        <v>4649.1871000000001</v>
      </c>
      <c r="N7">
        <v>6922.3906999999999</v>
      </c>
      <c r="O7">
        <v>6253.3441999999995</v>
      </c>
      <c r="P7">
        <v>7646.9107999999997</v>
      </c>
      <c r="Q7">
        <v>16091.8614</v>
      </c>
      <c r="R7">
        <v>17425.055199999999</v>
      </c>
      <c r="S7">
        <v>20125.479299999999</v>
      </c>
      <c r="T7">
        <v>25475.047399999999</v>
      </c>
      <c r="U7">
        <v>24196.801500000001</v>
      </c>
      <c r="V7">
        <v>26879.754700000001</v>
      </c>
      <c r="W7">
        <v>26559.5144</v>
      </c>
      <c r="X7">
        <v>24863.1322</v>
      </c>
      <c r="Y7">
        <v>26984.035800000001</v>
      </c>
      <c r="Z7">
        <v>27134.335200000001</v>
      </c>
      <c r="AA7">
        <v>25076.1214</v>
      </c>
      <c r="AB7">
        <v>27657.625899999999</v>
      </c>
      <c r="AC7">
        <v>27023.462100000001</v>
      </c>
      <c r="AD7">
        <v>25056.8822</v>
      </c>
      <c r="AE7">
        <v>27514.0769</v>
      </c>
    </row>
    <row r="8" spans="1:31" x14ac:dyDescent="0.4">
      <c r="A8">
        <v>750</v>
      </c>
      <c r="B8">
        <v>275.40010000000001</v>
      </c>
      <c r="C8">
        <v>216.06049999999999</v>
      </c>
      <c r="D8">
        <v>236.81379999999999</v>
      </c>
      <c r="E8">
        <v>159.24250000000001</v>
      </c>
      <c r="F8">
        <v>147.79310000000001</v>
      </c>
      <c r="G8">
        <v>163.6249</v>
      </c>
      <c r="H8">
        <v>2683.6525999999999</v>
      </c>
      <c r="I8">
        <v>2619.4198000000001</v>
      </c>
      <c r="J8">
        <v>2827.2444</v>
      </c>
      <c r="K8">
        <v>5963.3028000000004</v>
      </c>
      <c r="L8">
        <v>5347.4030000000002</v>
      </c>
      <c r="M8">
        <v>6129.1261000000004</v>
      </c>
      <c r="N8">
        <v>8605.6216999999997</v>
      </c>
      <c r="O8">
        <v>8114.1929</v>
      </c>
      <c r="P8">
        <v>9236.2589000000007</v>
      </c>
      <c r="Q8">
        <v>17224.381000000001</v>
      </c>
      <c r="R8">
        <v>18636.316200000001</v>
      </c>
      <c r="S8">
        <v>20106.027399999999</v>
      </c>
      <c r="T8">
        <v>25900.2889</v>
      </c>
      <c r="U8">
        <v>25715.438099999999</v>
      </c>
      <c r="V8">
        <v>27910.1276</v>
      </c>
      <c r="W8">
        <v>27464.924500000001</v>
      </c>
      <c r="X8">
        <v>26277.3796</v>
      </c>
      <c r="Y8">
        <v>28238.900900000001</v>
      </c>
      <c r="Z8">
        <v>27882.365600000001</v>
      </c>
      <c r="AA8">
        <v>26591.2549</v>
      </c>
      <c r="AB8">
        <v>28845.2088</v>
      </c>
      <c r="AC8">
        <v>27890.378100000002</v>
      </c>
      <c r="AD8">
        <v>26486.2395</v>
      </c>
      <c r="AE8">
        <v>28748.3547</v>
      </c>
    </row>
    <row r="9" spans="1:31" x14ac:dyDescent="0.4">
      <c r="A9">
        <v>1000</v>
      </c>
      <c r="B9">
        <v>256.79199999999997</v>
      </c>
      <c r="C9">
        <v>239.39060000000001</v>
      </c>
      <c r="D9">
        <v>237.8417</v>
      </c>
      <c r="E9">
        <v>225.25450000000001</v>
      </c>
      <c r="F9">
        <v>182.84110000000001</v>
      </c>
      <c r="G9">
        <v>217.97800000000001</v>
      </c>
      <c r="H9">
        <v>3572.8953000000001</v>
      </c>
      <c r="I9">
        <v>3420.4603999999999</v>
      </c>
      <c r="J9">
        <v>2858.6188999999999</v>
      </c>
      <c r="K9">
        <v>7210.1502</v>
      </c>
      <c r="L9">
        <v>6637.5902999999998</v>
      </c>
      <c r="M9">
        <v>7207.6714000000002</v>
      </c>
      <c r="N9">
        <v>10078.779500000001</v>
      </c>
      <c r="O9">
        <v>9470.8135000000002</v>
      </c>
      <c r="P9">
        <v>10351.752500000001</v>
      </c>
      <c r="Q9">
        <v>17641.008300000001</v>
      </c>
      <c r="R9">
        <v>18770.5347</v>
      </c>
      <c r="S9">
        <v>20398.296300000002</v>
      </c>
      <c r="T9">
        <v>27248.549900000002</v>
      </c>
      <c r="U9">
        <v>26072.473999999998</v>
      </c>
      <c r="V9">
        <v>27964.241300000002</v>
      </c>
      <c r="W9">
        <v>28217.328799999999</v>
      </c>
      <c r="X9">
        <v>26643.137999999999</v>
      </c>
      <c r="Y9">
        <v>28529.377899999999</v>
      </c>
      <c r="Z9">
        <v>28609.946800000002</v>
      </c>
      <c r="AA9">
        <v>26863.142899999999</v>
      </c>
      <c r="AB9">
        <v>29079.9575</v>
      </c>
      <c r="AC9">
        <v>28715.989300000001</v>
      </c>
      <c r="AD9">
        <v>26887.147700000001</v>
      </c>
      <c r="AE9">
        <v>29286.834800000001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TET_OD600</vt:lpstr>
      <vt:lpstr>ERY_OD600</vt:lpstr>
      <vt:lpstr>μ</vt:lpstr>
      <vt:lpstr>TET_dynamics</vt:lpstr>
      <vt:lpstr>ERY_dynamics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2026-03-02T16:06:08Z</dcterms:modified>
</cp:coreProperties>
</file>