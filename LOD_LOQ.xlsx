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Toto\Desktop\补实验数据\原始数据-github\"/>
    </mc:Choice>
  </mc:AlternateContent>
  <xr:revisionPtr revIDLastSave="0" documentId="13_ncr:1_{D0A2534A-140A-4100-BE2E-306BAD4020A8}" xr6:coauthVersionLast="47" xr6:coauthVersionMax="47" xr10:uidLastSave="{00000000-0000-0000-0000-000000000000}"/>
  <bookViews>
    <workbookView xWindow="7365" yWindow="675" windowWidth="14872" windowHeight="127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1" l="1"/>
  <c r="M4" i="1"/>
</calcChain>
</file>

<file path=xl/sharedStrings.xml><?xml version="1.0" encoding="utf-8"?>
<sst xmlns="http://schemas.openxmlformats.org/spreadsheetml/2006/main" count="33" uniqueCount="20">
  <si>
    <t>GFP/OD</t>
    <phoneticPr fontId="1" type="noConversion"/>
  </si>
  <si>
    <t>RFP/OD</t>
    <phoneticPr fontId="1" type="noConversion"/>
  </si>
  <si>
    <t>low-range linear fits</t>
    <phoneticPr fontId="1" type="noConversion"/>
  </si>
  <si>
    <t>background signal</t>
    <phoneticPr fontId="1" type="noConversion"/>
  </si>
  <si>
    <r>
      <t>TET_conc (</t>
    </r>
    <r>
      <rPr>
        <sz val="11"/>
        <color theme="1"/>
        <rFont val="等线"/>
        <family val="2"/>
      </rPr>
      <t>μ</t>
    </r>
    <r>
      <rPr>
        <sz val="11"/>
        <color theme="1"/>
        <rFont val="等线"/>
        <family val="3"/>
        <charset val="134"/>
      </rPr>
      <t>g/L</t>
    </r>
    <r>
      <rPr>
        <sz val="11"/>
        <color theme="1"/>
        <rFont val="等线"/>
        <family val="2"/>
        <scheme val="minor"/>
      </rPr>
      <t>)</t>
    </r>
    <phoneticPr fontId="1" type="noConversion"/>
  </si>
  <si>
    <r>
      <t>ERY_conc (</t>
    </r>
    <r>
      <rPr>
        <sz val="11"/>
        <color theme="1"/>
        <rFont val="等线"/>
        <family val="2"/>
      </rPr>
      <t>μ</t>
    </r>
    <r>
      <rPr>
        <sz val="11"/>
        <color theme="1"/>
        <rFont val="等线"/>
        <family val="3"/>
        <charset val="134"/>
      </rPr>
      <t>g/L</t>
    </r>
    <r>
      <rPr>
        <sz val="11"/>
        <color theme="1"/>
        <rFont val="等线"/>
        <family val="2"/>
        <scheme val="minor"/>
      </rPr>
      <t>)</t>
    </r>
    <phoneticPr fontId="1" type="noConversion"/>
  </si>
  <si>
    <t>SD</t>
    <phoneticPr fontId="1" type="noConversion"/>
  </si>
  <si>
    <t>Means</t>
    <phoneticPr fontId="1" type="noConversion"/>
  </si>
  <si>
    <t>concentration points</t>
  </si>
  <si>
    <t>replicates</t>
  </si>
  <si>
    <t>LOQ</t>
    <phoneticPr fontId="1" type="noConversion"/>
  </si>
  <si>
    <t>TET</t>
    <phoneticPr fontId="1" type="noConversion"/>
  </si>
  <si>
    <t>ERY</t>
    <phoneticPr fontId="1" type="noConversion"/>
  </si>
  <si>
    <t>95% confidence intervals for slopes</t>
    <phoneticPr fontId="1" type="noConversion"/>
  </si>
  <si>
    <t>[63.95, 153.27]</t>
    <phoneticPr fontId="1" type="noConversion"/>
  </si>
  <si>
    <t>[2.246, 3.571]</t>
    <phoneticPr fontId="1" type="noConversion"/>
  </si>
  <si>
    <t>CV</t>
    <phoneticPr fontId="1" type="noConversion"/>
  </si>
  <si>
    <t>S/B</t>
    <phoneticPr fontId="1" type="noConversion"/>
  </si>
  <si>
    <t>LOD</t>
    <phoneticPr fontId="1" type="noConversion"/>
  </si>
  <si>
    <t>slope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</si>
</sst>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82" formatCode="0.0"/>
  </numFmts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</font>
    <font>
      <sz val="11"/>
      <color theme="1"/>
      <name val="等线"/>
      <family val="3"/>
      <charset val="134"/>
    </font>
    <font>
      <b/>
      <sz val="9"/>
      <color rgb="FF000000"/>
      <name val="Arial"/>
      <family val="2"/>
    </font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>
      <alignment vertical="center"/>
    </xf>
  </cellStyleXfs>
  <cellXfs count="6">
    <xf numFmtId="0" fontId="0" fillId="0" borderId="0" xfId="0"/>
    <xf numFmtId="0" fontId="4" fillId="0" borderId="0" xfId="0" applyFont="1"/>
    <xf numFmtId="176" fontId="0" fillId="0" borderId="0" xfId="1" applyNumberFormat="1" applyFont="1" applyAlignment="1"/>
    <xf numFmtId="0" fontId="6" fillId="0" borderId="0" xfId="0" applyFont="1"/>
    <xf numFmtId="2" fontId="0" fillId="0" borderId="0" xfId="0" applyNumberFormat="1"/>
    <xf numFmtId="182" fontId="0" fillId="0" borderId="0" xfId="0" applyNumberFormat="1"/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"/>
  <sheetViews>
    <sheetView tabSelected="1" workbookViewId="0">
      <selection activeCell="J26" sqref="J26"/>
    </sheetView>
  </sheetViews>
  <sheetFormatPr defaultRowHeight="13.9" x14ac:dyDescent="0.4"/>
  <cols>
    <col min="2" max="2" width="9.46484375" bestFit="1" customWidth="1"/>
    <col min="3" max="3" width="9.46484375" customWidth="1"/>
  </cols>
  <sheetData>
    <row r="1" spans="1:13" x14ac:dyDescent="0.4">
      <c r="A1" t="s">
        <v>3</v>
      </c>
    </row>
    <row r="2" spans="1:13" x14ac:dyDescent="0.4"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 t="s">
        <v>7</v>
      </c>
      <c r="L2" t="s">
        <v>6</v>
      </c>
      <c r="M2" t="s">
        <v>16</v>
      </c>
    </row>
    <row r="3" spans="1:13" x14ac:dyDescent="0.4">
      <c r="A3" t="s">
        <v>0</v>
      </c>
      <c r="B3">
        <v>7691.75</v>
      </c>
      <c r="C3">
        <v>7838.9771000000001</v>
      </c>
      <c r="D3">
        <v>7839.3275000000003</v>
      </c>
      <c r="E3">
        <v>7224.7175999999999</v>
      </c>
      <c r="F3">
        <v>7227.6953000000003</v>
      </c>
      <c r="G3">
        <v>6956.6399000000001</v>
      </c>
      <c r="H3">
        <v>7188.9866000000002</v>
      </c>
      <c r="I3">
        <v>6970.6749</v>
      </c>
      <c r="J3">
        <v>6742.5218000000004</v>
      </c>
      <c r="K3">
        <v>7297.9211999999998</v>
      </c>
      <c r="L3">
        <v>402.36059999999998</v>
      </c>
      <c r="M3" s="2">
        <f>L3/K3</f>
        <v>5.5133590644963391E-2</v>
      </c>
    </row>
    <row r="4" spans="1:13" x14ac:dyDescent="0.4">
      <c r="A4" t="s">
        <v>1</v>
      </c>
      <c r="B4">
        <v>402.27600000000001</v>
      </c>
      <c r="C4">
        <v>412.86219999999997</v>
      </c>
      <c r="D4">
        <v>382.2328</v>
      </c>
      <c r="E4">
        <v>389.78320000000002</v>
      </c>
      <c r="F4">
        <v>375.81049999999999</v>
      </c>
      <c r="G4">
        <v>363.29640000000001</v>
      </c>
      <c r="H4">
        <v>404.60019999999997</v>
      </c>
      <c r="I4">
        <v>396.1585</v>
      </c>
      <c r="J4">
        <v>374.80840000000001</v>
      </c>
      <c r="K4">
        <v>389.09199999999998</v>
      </c>
      <c r="L4">
        <v>16.289000000000001</v>
      </c>
      <c r="M4" s="2">
        <f>L4/K4</f>
        <v>4.1864134960369274E-2</v>
      </c>
    </row>
    <row r="6" spans="1:13" x14ac:dyDescent="0.4">
      <c r="A6" t="s">
        <v>2</v>
      </c>
    </row>
    <row r="7" spans="1:13" x14ac:dyDescent="0.4">
      <c r="A7" t="s">
        <v>4</v>
      </c>
      <c r="F7" t="s">
        <v>5</v>
      </c>
    </row>
    <row r="8" spans="1:13" x14ac:dyDescent="0.4">
      <c r="A8">
        <v>10</v>
      </c>
      <c r="B8">
        <v>7697.0191999999997</v>
      </c>
      <c r="C8">
        <v>7587.5848999999998</v>
      </c>
      <c r="D8">
        <v>7767.6327000000001</v>
      </c>
      <c r="F8">
        <v>0</v>
      </c>
      <c r="G8">
        <v>402.27600000000001</v>
      </c>
      <c r="H8">
        <v>412.86219999999997</v>
      </c>
      <c r="I8">
        <v>382.2328</v>
      </c>
    </row>
    <row r="9" spans="1:13" x14ac:dyDescent="0.4">
      <c r="A9">
        <v>20</v>
      </c>
      <c r="B9">
        <v>8367.4835999999996</v>
      </c>
      <c r="C9">
        <v>8361.7837999999992</v>
      </c>
      <c r="D9">
        <v>8571.0529999999999</v>
      </c>
      <c r="F9">
        <v>20</v>
      </c>
      <c r="G9">
        <v>446.65010000000001</v>
      </c>
      <c r="H9">
        <v>461.11759999999998</v>
      </c>
      <c r="I9">
        <v>490.31240000000003</v>
      </c>
    </row>
    <row r="10" spans="1:13" x14ac:dyDescent="0.4">
      <c r="A10">
        <v>30</v>
      </c>
      <c r="B10">
        <v>8951.9014000000006</v>
      </c>
      <c r="C10">
        <v>9196.2518</v>
      </c>
      <c r="D10">
        <v>9482.8261999999995</v>
      </c>
      <c r="F10">
        <v>30</v>
      </c>
      <c r="G10">
        <v>458.45639999999997</v>
      </c>
      <c r="H10">
        <v>498.90699999999998</v>
      </c>
      <c r="I10">
        <v>496.30689999999998</v>
      </c>
    </row>
    <row r="11" spans="1:13" x14ac:dyDescent="0.4">
      <c r="A11">
        <v>40</v>
      </c>
      <c r="B11">
        <v>10997.7534</v>
      </c>
      <c r="C11">
        <v>11580.4635</v>
      </c>
      <c r="D11">
        <v>11856.006299999999</v>
      </c>
      <c r="F11">
        <v>40</v>
      </c>
      <c r="G11">
        <v>514.48620000000005</v>
      </c>
      <c r="H11">
        <v>525.56259999999997</v>
      </c>
      <c r="I11">
        <v>546.49800000000005</v>
      </c>
    </row>
    <row r="12" spans="1:13" x14ac:dyDescent="0.4">
      <c r="A12">
        <v>50</v>
      </c>
      <c r="B12">
        <v>12092.3444</v>
      </c>
      <c r="C12">
        <v>12370.525799999999</v>
      </c>
      <c r="D12">
        <v>12710.694299999999</v>
      </c>
      <c r="F12">
        <v>50</v>
      </c>
      <c r="G12">
        <v>509.10019999999997</v>
      </c>
      <c r="H12">
        <v>530.68640000000005</v>
      </c>
      <c r="I12">
        <v>564.18960000000004</v>
      </c>
    </row>
    <row r="14" spans="1:13" x14ac:dyDescent="0.4">
      <c r="B14" t="s">
        <v>11</v>
      </c>
      <c r="C14" t="s">
        <v>12</v>
      </c>
    </row>
    <row r="15" spans="1:13" x14ac:dyDescent="0.4">
      <c r="A15" s="1" t="s">
        <v>8</v>
      </c>
      <c r="B15">
        <v>5</v>
      </c>
      <c r="C15">
        <v>5</v>
      </c>
    </row>
    <row r="16" spans="1:13" x14ac:dyDescent="0.4">
      <c r="A16" s="1" t="s">
        <v>9</v>
      </c>
      <c r="B16">
        <v>3</v>
      </c>
      <c r="C16">
        <v>3</v>
      </c>
    </row>
    <row r="17" spans="1:9" x14ac:dyDescent="0.4">
      <c r="A17" s="1" t="s">
        <v>13</v>
      </c>
      <c r="B17" t="s">
        <v>14</v>
      </c>
      <c r="C17" t="s">
        <v>15</v>
      </c>
    </row>
    <row r="18" spans="1:9" x14ac:dyDescent="0.4">
      <c r="A18" s="1" t="s">
        <v>19</v>
      </c>
      <c r="B18">
        <v>108.61</v>
      </c>
      <c r="C18" s="4">
        <v>3</v>
      </c>
    </row>
    <row r="19" spans="1:9" x14ac:dyDescent="0.4">
      <c r="A19" s="1" t="s">
        <v>18</v>
      </c>
      <c r="B19">
        <v>11.1</v>
      </c>
      <c r="C19">
        <v>16.3</v>
      </c>
    </row>
    <row r="20" spans="1:9" x14ac:dyDescent="0.4">
      <c r="A20" s="1" t="s">
        <v>10</v>
      </c>
      <c r="B20">
        <v>37.1</v>
      </c>
      <c r="C20">
        <v>54.3</v>
      </c>
    </row>
    <row r="21" spans="1:9" x14ac:dyDescent="0.4">
      <c r="A21" s="1" t="s">
        <v>16</v>
      </c>
      <c r="B21" s="2">
        <v>5.5133590644963391E-2</v>
      </c>
      <c r="C21" s="2">
        <v>4.1864134960369274E-2</v>
      </c>
    </row>
    <row r="22" spans="1:9" x14ac:dyDescent="0.4">
      <c r="A22" s="3" t="s">
        <v>17</v>
      </c>
      <c r="B22" s="5">
        <v>8.4882232923837524</v>
      </c>
      <c r="C22" s="5">
        <v>93.001363988270981</v>
      </c>
    </row>
    <row r="25" spans="1:9" x14ac:dyDescent="0.4">
      <c r="B25" s="1" t="s">
        <v>8</v>
      </c>
      <c r="C25" s="1" t="s">
        <v>9</v>
      </c>
      <c r="D25" s="1" t="s">
        <v>13</v>
      </c>
      <c r="E25" s="1" t="s">
        <v>19</v>
      </c>
      <c r="F25" s="1" t="s">
        <v>18</v>
      </c>
      <c r="G25" s="1" t="s">
        <v>10</v>
      </c>
      <c r="H25" s="1" t="s">
        <v>16</v>
      </c>
      <c r="I25" s="3" t="s">
        <v>17</v>
      </c>
    </row>
    <row r="26" spans="1:9" x14ac:dyDescent="0.4">
      <c r="A26" t="s">
        <v>11</v>
      </c>
      <c r="B26">
        <v>5</v>
      </c>
      <c r="C26">
        <v>3</v>
      </c>
      <c r="D26" t="s">
        <v>14</v>
      </c>
      <c r="E26">
        <v>108.61</v>
      </c>
      <c r="F26">
        <v>11.1</v>
      </c>
      <c r="G26">
        <v>37.1</v>
      </c>
      <c r="H26" s="2">
        <v>5.5133590644963391E-2</v>
      </c>
      <c r="I26" s="5">
        <v>8.4882232923837524</v>
      </c>
    </row>
    <row r="27" spans="1:9" x14ac:dyDescent="0.4">
      <c r="A27" t="s">
        <v>12</v>
      </c>
      <c r="B27">
        <v>5</v>
      </c>
      <c r="C27">
        <v>3</v>
      </c>
      <c r="D27" t="s">
        <v>15</v>
      </c>
      <c r="E27" s="4">
        <v>3</v>
      </c>
      <c r="F27">
        <v>16.3</v>
      </c>
      <c r="G27">
        <v>54.3</v>
      </c>
      <c r="H27" s="2">
        <v>4.1864134960369274E-2</v>
      </c>
      <c r="I27" s="5">
        <v>93.001363988270981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Toto</dc:creator>
  <cp:lastModifiedBy>美仑 王</cp:lastModifiedBy>
  <dcterms:created xsi:type="dcterms:W3CDTF">2015-06-05T18:19:34Z</dcterms:created>
  <dcterms:modified xsi:type="dcterms:W3CDTF">2026-02-28T16:25:57Z</dcterms:modified>
</cp:coreProperties>
</file>