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原始数据-github\"/>
    </mc:Choice>
  </mc:AlternateContent>
  <xr:revisionPtr revIDLastSave="0" documentId="13_ncr:1_{EEC3CB68-77A6-4C84-A3B5-24A76934ABB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T" sheetId="1" r:id="rId1"/>
    <sheet name="E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2" i="2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<sst xmlns="http://schemas.openxmlformats.org/spreadsheetml/2006/main" count="4" uniqueCount="4">
  <si>
    <t>conc_TET</t>
    <phoneticPr fontId="1" type="noConversion"/>
  </si>
  <si>
    <t>GFP/OD</t>
    <phoneticPr fontId="1" type="noConversion"/>
  </si>
  <si>
    <t>conc_ERY</t>
    <phoneticPr fontId="1" type="noConversion"/>
  </si>
  <si>
    <t>RFP/OD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</si>
</sst>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16" sqref="B16:D16"/>
    </sheetView>
  </sheetViews>
  <sheetFormatPr defaultRowHeight="13.9" x14ac:dyDescent="0.4"/>
  <sheetData>
    <row r="1" spans="1:7" x14ac:dyDescent="0.4">
      <c r="A1" t="s">
        <v>0</v>
      </c>
      <c r="B1" s="1" t="s">
        <v>1</v>
      </c>
      <c r="C1" s="1"/>
      <c r="D1" s="1"/>
    </row>
    <row r="2" spans="1:7" x14ac:dyDescent="0.4">
      <c r="A2">
        <v>0</v>
      </c>
      <c r="B2">
        <v>7691.75</v>
      </c>
      <c r="C2">
        <v>7838.9771000000001</v>
      </c>
      <c r="D2">
        <v>7839.3275000000003</v>
      </c>
      <c r="F2">
        <f>AVERAGE(B2:D2)</f>
        <v>7790.0181999999995</v>
      </c>
      <c r="G2">
        <f>F16/F2</f>
        <v>8.4882232923837524</v>
      </c>
    </row>
    <row r="3" spans="1:7" x14ac:dyDescent="0.4">
      <c r="A3">
        <v>10</v>
      </c>
      <c r="B3">
        <v>7697.0191999999997</v>
      </c>
      <c r="C3">
        <v>7587.5848999999998</v>
      </c>
      <c r="D3">
        <v>7767.6327000000001</v>
      </c>
      <c r="F3">
        <f t="shared" ref="F3:F16" si="0">AVERAGE(B3:D3)</f>
        <v>7684.0789333333332</v>
      </c>
    </row>
    <row r="4" spans="1:7" x14ac:dyDescent="0.4">
      <c r="A4">
        <v>20</v>
      </c>
      <c r="B4">
        <v>8367.4835999999996</v>
      </c>
      <c r="C4">
        <v>8361.7837999999992</v>
      </c>
      <c r="D4">
        <v>8571.0529999999999</v>
      </c>
      <c r="F4">
        <f t="shared" si="0"/>
        <v>8433.4401333333317</v>
      </c>
    </row>
    <row r="5" spans="1:7" x14ac:dyDescent="0.4">
      <c r="A5">
        <v>30</v>
      </c>
      <c r="B5">
        <v>8951.9014000000006</v>
      </c>
      <c r="C5">
        <v>9196.2518</v>
      </c>
      <c r="D5">
        <v>9482.8261999999995</v>
      </c>
      <c r="F5">
        <f t="shared" si="0"/>
        <v>9210.3264666666673</v>
      </c>
    </row>
    <row r="6" spans="1:7" x14ac:dyDescent="0.4">
      <c r="A6">
        <v>40</v>
      </c>
      <c r="B6">
        <v>10997.7534</v>
      </c>
      <c r="C6">
        <v>11580.4635</v>
      </c>
      <c r="D6">
        <v>11856.006299999999</v>
      </c>
      <c r="F6">
        <f t="shared" si="0"/>
        <v>11478.0744</v>
      </c>
    </row>
    <row r="7" spans="1:7" x14ac:dyDescent="0.4">
      <c r="A7">
        <v>50</v>
      </c>
      <c r="B7">
        <v>12092.3444</v>
      </c>
      <c r="C7">
        <v>12370.525799999999</v>
      </c>
      <c r="D7">
        <v>12710.694299999999</v>
      </c>
      <c r="F7">
        <f t="shared" si="0"/>
        <v>12391.188166666665</v>
      </c>
    </row>
    <row r="8" spans="1:7" x14ac:dyDescent="0.4">
      <c r="A8">
        <v>75</v>
      </c>
      <c r="B8">
        <v>15418.9944</v>
      </c>
      <c r="C8">
        <v>16395.4846</v>
      </c>
      <c r="D8">
        <v>16992.364399999999</v>
      </c>
      <c r="F8">
        <f t="shared" si="0"/>
        <v>16268.9478</v>
      </c>
    </row>
    <row r="9" spans="1:7" x14ac:dyDescent="0.4">
      <c r="A9">
        <v>80</v>
      </c>
      <c r="B9">
        <v>18249.966700000001</v>
      </c>
      <c r="C9">
        <v>18409.421699999999</v>
      </c>
      <c r="D9">
        <v>18834.4126</v>
      </c>
      <c r="F9">
        <f t="shared" si="0"/>
        <v>18497.933666666664</v>
      </c>
    </row>
    <row r="10" spans="1:7" x14ac:dyDescent="0.4">
      <c r="A10">
        <v>100</v>
      </c>
      <c r="B10">
        <v>23660.989699999998</v>
      </c>
      <c r="C10">
        <v>23903.455699999999</v>
      </c>
      <c r="D10">
        <v>24139.242200000001</v>
      </c>
      <c r="F10">
        <f t="shared" si="0"/>
        <v>23901.229200000002</v>
      </c>
    </row>
    <row r="11" spans="1:7" x14ac:dyDescent="0.4">
      <c r="A11">
        <v>150</v>
      </c>
      <c r="B11">
        <v>32843.762199999997</v>
      </c>
      <c r="C11">
        <v>32212.632399999999</v>
      </c>
      <c r="D11">
        <v>32161.087599999999</v>
      </c>
      <c r="F11">
        <f t="shared" si="0"/>
        <v>32405.827399999998</v>
      </c>
    </row>
    <row r="12" spans="1:7" x14ac:dyDescent="0.4">
      <c r="A12">
        <v>200</v>
      </c>
      <c r="B12">
        <v>40489.880100000002</v>
      </c>
      <c r="C12">
        <v>40336.058100000002</v>
      </c>
      <c r="D12">
        <v>41236.878700000001</v>
      </c>
      <c r="F12">
        <f t="shared" si="0"/>
        <v>40687.605633333333</v>
      </c>
    </row>
    <row r="13" spans="1:7" x14ac:dyDescent="0.4">
      <c r="A13">
        <v>300</v>
      </c>
      <c r="B13">
        <v>53381.529199999997</v>
      </c>
      <c r="C13">
        <v>53502.026899999997</v>
      </c>
      <c r="D13">
        <v>56136.6253</v>
      </c>
      <c r="F13">
        <f t="shared" si="0"/>
        <v>54340.06046666667</v>
      </c>
    </row>
    <row r="14" spans="1:7" x14ac:dyDescent="0.4">
      <c r="A14">
        <v>400</v>
      </c>
      <c r="B14">
        <v>62825.362999999998</v>
      </c>
      <c r="C14">
        <v>62039.325100000002</v>
      </c>
      <c r="D14">
        <v>63226.520799999998</v>
      </c>
      <c r="F14">
        <f t="shared" si="0"/>
        <v>62697.069633333333</v>
      </c>
    </row>
    <row r="15" spans="1:7" x14ac:dyDescent="0.4">
      <c r="A15">
        <v>500</v>
      </c>
      <c r="B15">
        <v>62189.769699999997</v>
      </c>
      <c r="C15">
        <v>63237.648000000001</v>
      </c>
      <c r="D15">
        <v>66196.483300000007</v>
      </c>
      <c r="F15">
        <f t="shared" si="0"/>
        <v>63874.633666666668</v>
      </c>
    </row>
    <row r="16" spans="1:7" x14ac:dyDescent="0.4">
      <c r="A16">
        <v>1000</v>
      </c>
      <c r="B16">
        <v>64592.4467</v>
      </c>
      <c r="C16">
        <v>66307.427800000005</v>
      </c>
      <c r="D16">
        <v>67470.367299999998</v>
      </c>
      <c r="F16">
        <f t="shared" si="0"/>
        <v>66123.413933333344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B7A2-CAA9-4693-9926-B640CB0EF5D8}">
  <dimension ref="A1:G17"/>
  <sheetViews>
    <sheetView workbookViewId="0">
      <selection activeCell="I10" sqref="I10"/>
    </sheetView>
  </sheetViews>
  <sheetFormatPr defaultRowHeight="13.9" x14ac:dyDescent="0.4"/>
  <sheetData>
    <row r="1" spans="1:7" x14ac:dyDescent="0.4">
      <c r="A1" t="s">
        <v>2</v>
      </c>
      <c r="B1" s="1" t="s">
        <v>3</v>
      </c>
      <c r="C1" s="1"/>
      <c r="D1" s="1"/>
    </row>
    <row r="2" spans="1:7" x14ac:dyDescent="0.4">
      <c r="A2">
        <v>0</v>
      </c>
      <c r="B2">
        <v>402.27600000000001</v>
      </c>
      <c r="C2">
        <v>412.86219999999997</v>
      </c>
      <c r="D2">
        <v>382.2328</v>
      </c>
      <c r="F2">
        <f>AVERAGE(B2:D2)</f>
        <v>399.12366666666668</v>
      </c>
      <c r="G2">
        <f>F17/F2</f>
        <v>93.001363988270981</v>
      </c>
    </row>
    <row r="3" spans="1:7" x14ac:dyDescent="0.4">
      <c r="A3">
        <v>20</v>
      </c>
      <c r="B3">
        <v>446.65010000000001</v>
      </c>
      <c r="C3">
        <v>461.11759999999998</v>
      </c>
      <c r="D3">
        <v>490.31240000000003</v>
      </c>
      <c r="F3">
        <f t="shared" ref="F3:F17" si="0">AVERAGE(B3:D3)</f>
        <v>466.02670000000006</v>
      </c>
    </row>
    <row r="4" spans="1:7" x14ac:dyDescent="0.4">
      <c r="A4">
        <v>30</v>
      </c>
      <c r="B4">
        <v>458.45639999999997</v>
      </c>
      <c r="C4">
        <v>498.90699999999998</v>
      </c>
      <c r="D4">
        <v>496.30689999999998</v>
      </c>
      <c r="F4">
        <f t="shared" si="0"/>
        <v>484.55676666666665</v>
      </c>
    </row>
    <row r="5" spans="1:7" x14ac:dyDescent="0.4">
      <c r="A5">
        <v>40</v>
      </c>
      <c r="B5">
        <v>514.48620000000005</v>
      </c>
      <c r="C5">
        <v>525.56259999999997</v>
      </c>
      <c r="D5">
        <v>546.49800000000005</v>
      </c>
      <c r="F5">
        <f t="shared" si="0"/>
        <v>528.84893333333332</v>
      </c>
    </row>
    <row r="6" spans="1:7" x14ac:dyDescent="0.4">
      <c r="A6">
        <v>50</v>
      </c>
      <c r="B6">
        <v>509.10019999999997</v>
      </c>
      <c r="C6">
        <v>530.68640000000005</v>
      </c>
      <c r="D6">
        <v>564.18960000000004</v>
      </c>
      <c r="F6">
        <f t="shared" si="0"/>
        <v>534.65873333333332</v>
      </c>
    </row>
    <row r="7" spans="1:7" x14ac:dyDescent="0.4">
      <c r="A7">
        <v>60</v>
      </c>
      <c r="B7">
        <v>625.08090000000004</v>
      </c>
      <c r="C7">
        <v>718.29700000000003</v>
      </c>
      <c r="D7">
        <v>823.39059999999995</v>
      </c>
      <c r="F7">
        <f t="shared" si="0"/>
        <v>722.25616666666667</v>
      </c>
    </row>
    <row r="8" spans="1:7" x14ac:dyDescent="0.4">
      <c r="A8">
        <v>70</v>
      </c>
      <c r="B8">
        <v>771.28679999999997</v>
      </c>
      <c r="C8">
        <v>897.51829999999995</v>
      </c>
      <c r="D8">
        <v>1037.8699999999999</v>
      </c>
      <c r="F8">
        <f t="shared" si="0"/>
        <v>902.22503333333327</v>
      </c>
    </row>
    <row r="9" spans="1:7" x14ac:dyDescent="0.4">
      <c r="A9">
        <v>80</v>
      </c>
      <c r="B9">
        <v>1409.4558</v>
      </c>
      <c r="C9">
        <v>1843.0916</v>
      </c>
      <c r="D9">
        <v>2284.7554</v>
      </c>
      <c r="F9">
        <f t="shared" si="0"/>
        <v>1845.7675999999999</v>
      </c>
    </row>
    <row r="10" spans="1:7" x14ac:dyDescent="0.4">
      <c r="A10">
        <v>100</v>
      </c>
      <c r="B10">
        <v>2820.7139999999999</v>
      </c>
      <c r="C10">
        <v>3338.1408000000001</v>
      </c>
      <c r="D10">
        <v>3855.1432</v>
      </c>
      <c r="F10">
        <f t="shared" si="0"/>
        <v>3337.9993333333332</v>
      </c>
    </row>
    <row r="11" spans="1:7" x14ac:dyDescent="0.4">
      <c r="A11">
        <v>150</v>
      </c>
      <c r="B11">
        <v>10933.1008</v>
      </c>
      <c r="C11">
        <v>12852.1782</v>
      </c>
      <c r="D11">
        <v>12468.054</v>
      </c>
      <c r="F11">
        <f t="shared" si="0"/>
        <v>12084.444333333333</v>
      </c>
    </row>
    <row r="12" spans="1:7" x14ac:dyDescent="0.4">
      <c r="A12">
        <v>200</v>
      </c>
      <c r="B12">
        <v>15861.3218</v>
      </c>
      <c r="C12">
        <v>16804.111400000002</v>
      </c>
      <c r="D12">
        <v>16543.7143</v>
      </c>
      <c r="F12">
        <f t="shared" si="0"/>
        <v>16403.049166666668</v>
      </c>
    </row>
    <row r="13" spans="1:7" x14ac:dyDescent="0.4">
      <c r="A13">
        <v>250</v>
      </c>
      <c r="B13">
        <v>22991.77</v>
      </c>
      <c r="C13">
        <v>24694.625899999999</v>
      </c>
      <c r="D13">
        <v>25884.266</v>
      </c>
      <c r="F13">
        <f t="shared" si="0"/>
        <v>24523.55396666667</v>
      </c>
    </row>
    <row r="14" spans="1:7" x14ac:dyDescent="0.4">
      <c r="A14">
        <v>300</v>
      </c>
      <c r="B14">
        <v>26507.257799999999</v>
      </c>
      <c r="C14">
        <v>27598.534500000002</v>
      </c>
      <c r="D14">
        <v>26823.261399999999</v>
      </c>
      <c r="F14">
        <f t="shared" si="0"/>
        <v>26976.351233333335</v>
      </c>
    </row>
    <row r="15" spans="1:7" x14ac:dyDescent="0.4">
      <c r="A15">
        <v>500</v>
      </c>
      <c r="B15">
        <v>32989.171199999997</v>
      </c>
      <c r="C15">
        <v>33321.957999999999</v>
      </c>
      <c r="D15">
        <v>33916.500999999997</v>
      </c>
      <c r="F15">
        <f t="shared" si="0"/>
        <v>33409.210066666659</v>
      </c>
    </row>
    <row r="16" spans="1:7" x14ac:dyDescent="0.4">
      <c r="A16">
        <v>750</v>
      </c>
      <c r="B16">
        <v>34938.944799999997</v>
      </c>
      <c r="C16">
        <v>36885.349399999999</v>
      </c>
      <c r="D16">
        <v>35086.948400000001</v>
      </c>
      <c r="F16">
        <f t="shared" si="0"/>
        <v>35637.080866666663</v>
      </c>
    </row>
    <row r="17" spans="1:6" x14ac:dyDescent="0.4">
      <c r="A17">
        <v>1000</v>
      </c>
      <c r="B17">
        <v>36055.74</v>
      </c>
      <c r="C17">
        <v>38962.857499999998</v>
      </c>
      <c r="D17">
        <v>36338.538699999997</v>
      </c>
      <c r="F17">
        <f t="shared" si="0"/>
        <v>37119.045400000003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TET</vt:lpstr>
      <vt:lpstr>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2026-03-02T16:07:46Z</dcterms:modified>
</cp:coreProperties>
</file>