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10062490-40CB-4715-8947-FB3844ECCA54}" xr6:coauthVersionLast="47" xr6:coauthVersionMax="47" xr10:uidLastSave="{00000000-0000-0000-0000-000000000000}"/>
  <bookViews>
    <workbookView xWindow="-285" yWindow="98" windowWidth="12645" windowHeight="1277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G21" i="1"/>
  <c r="G20" i="1"/>
  <c r="H14" i="1"/>
  <c r="H15" i="1"/>
  <c r="G15" i="1"/>
  <c r="G14" i="1"/>
  <c r="H8" i="1"/>
  <c r="H9" i="1"/>
  <c r="G9" i="1"/>
  <c r="G8" i="1"/>
  <c r="H2" i="1"/>
  <c r="H3" i="1"/>
  <c r="G3" i="1"/>
  <c r="G2" i="1"/>
  <c r="F21" i="1"/>
  <c r="F20" i="1"/>
  <c r="E21" i="1"/>
  <c r="E20" i="1"/>
  <c r="F15" i="1"/>
  <c r="F14" i="1"/>
  <c r="E15" i="1"/>
  <c r="E14" i="1"/>
  <c r="F9" i="1"/>
  <c r="F8" i="1"/>
  <c r="E9" i="1"/>
  <c r="E8" i="1"/>
  <c r="F3" i="1"/>
  <c r="F2" i="1"/>
  <c r="E3" i="1"/>
  <c r="E2" i="1"/>
</calcChain>
</file>

<file path=xl/sharedStrings.xml><?xml version="1.0" encoding="utf-8"?>
<sst xmlns="http://schemas.openxmlformats.org/spreadsheetml/2006/main" count="34" uniqueCount="30">
  <si>
    <t>TA50</t>
  </si>
  <si>
    <t>TB50</t>
  </si>
  <si>
    <t>TC50</t>
  </si>
  <si>
    <t>MA50</t>
  </si>
  <si>
    <t>MB50</t>
  </si>
  <si>
    <t>MC50</t>
  </si>
  <si>
    <t>HA50</t>
  </si>
  <si>
    <t>HB50</t>
  </si>
  <si>
    <t>HC50</t>
  </si>
  <si>
    <t>AA50</t>
  </si>
  <si>
    <t>AB50</t>
  </si>
  <si>
    <t>AC50</t>
  </si>
  <si>
    <t>TA100</t>
  </si>
  <si>
    <t>TB100</t>
  </si>
  <si>
    <t>TC100</t>
  </si>
  <si>
    <t>MA100</t>
  </si>
  <si>
    <t>MB100</t>
  </si>
  <si>
    <t>MC100</t>
  </si>
  <si>
    <t>HA100</t>
  </si>
  <si>
    <t>HB100</t>
  </si>
  <si>
    <t>HC100</t>
  </si>
  <si>
    <t>AA100</t>
  </si>
  <si>
    <t>AB100</t>
  </si>
  <si>
    <t>AC100</t>
  </si>
  <si>
    <t>TC</t>
    <phoneticPr fontId="1" type="noConversion"/>
  </si>
  <si>
    <t>ERY</t>
    <phoneticPr fontId="1" type="noConversion"/>
  </si>
  <si>
    <t>Antibiotic manufacturing wastewater</t>
    <phoneticPr fontId="1" type="noConversion"/>
  </si>
  <si>
    <t>River Water</t>
    <phoneticPr fontId="1" type="noConversion"/>
  </si>
  <si>
    <t>Lake Water</t>
    <phoneticPr fontId="1" type="noConversion"/>
  </si>
  <si>
    <t>Tap 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</si>
</sst>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4" sqref="J4"/>
    </sheetView>
  </sheetViews>
  <sheetFormatPr defaultRowHeight="13.9" x14ac:dyDescent="0.4"/>
  <cols>
    <col min="4" max="4" width="9.73046875" customWidth="1"/>
  </cols>
  <sheetData>
    <row r="1" spans="1:8" x14ac:dyDescent="0.4">
      <c r="B1" t="s">
        <v>24</v>
      </c>
      <c r="C1" t="s">
        <v>25</v>
      </c>
      <c r="E1" t="s">
        <v>24</v>
      </c>
      <c r="F1" t="s">
        <v>25</v>
      </c>
      <c r="G1" t="s">
        <v>24</v>
      </c>
      <c r="H1" t="s">
        <v>25</v>
      </c>
    </row>
    <row r="2" spans="1:8" x14ac:dyDescent="0.4">
      <c r="A2" t="s">
        <v>21</v>
      </c>
      <c r="B2">
        <v>105.8</v>
      </c>
      <c r="C2">
        <v>87.2</v>
      </c>
      <c r="D2" s="2" t="s">
        <v>26</v>
      </c>
      <c r="E2">
        <f>AVERAGE(B2,B4,B6)</f>
        <v>105.43333333333334</v>
      </c>
      <c r="F2">
        <f>AVERAGE(C2,C4,C6)</f>
        <v>89.333333333333329</v>
      </c>
      <c r="G2">
        <f>_xlfn.STDEV.P(B2,B4,B6)</f>
        <v>1.693779468788331</v>
      </c>
      <c r="H2">
        <f>_xlfn.STDEV.P(C2,C4,C6)</f>
        <v>1.6131404843417119</v>
      </c>
    </row>
    <row r="3" spans="1:8" x14ac:dyDescent="0.4">
      <c r="A3" t="s">
        <v>9</v>
      </c>
      <c r="B3">
        <v>50.8</v>
      </c>
      <c r="C3">
        <v>43.3</v>
      </c>
      <c r="D3" s="2"/>
      <c r="E3">
        <f>AVERAGE(B3,B5,B7)</f>
        <v>51.133333333333333</v>
      </c>
      <c r="F3">
        <f>AVERAGE(C3,C5,C7)</f>
        <v>45.4</v>
      </c>
      <c r="G3">
        <f>_xlfn.STDEV.P(B3,B5,B7)</f>
        <v>1.0873004286866736</v>
      </c>
      <c r="H3">
        <f>_xlfn.STDEV.P(C3,C5,C7)</f>
        <v>1.5121728296285015</v>
      </c>
    </row>
    <row r="4" spans="1:8" x14ac:dyDescent="0.4">
      <c r="A4" t="s">
        <v>22</v>
      </c>
      <c r="B4">
        <v>107.3</v>
      </c>
      <c r="C4">
        <v>89.7</v>
      </c>
    </row>
    <row r="5" spans="1:8" x14ac:dyDescent="0.4">
      <c r="A5" t="s">
        <v>10</v>
      </c>
      <c r="B5">
        <v>50</v>
      </c>
      <c r="C5">
        <v>46.1</v>
      </c>
    </row>
    <row r="6" spans="1:8" x14ac:dyDescent="0.4">
      <c r="A6" t="s">
        <v>23</v>
      </c>
      <c r="B6">
        <v>103.2</v>
      </c>
      <c r="C6">
        <v>91.1</v>
      </c>
    </row>
    <row r="7" spans="1:8" x14ac:dyDescent="0.4">
      <c r="A7" t="s">
        <v>11</v>
      </c>
      <c r="B7">
        <v>52.6</v>
      </c>
      <c r="C7">
        <v>46.8</v>
      </c>
    </row>
    <row r="8" spans="1:8" x14ac:dyDescent="0.4">
      <c r="A8" t="s">
        <v>18</v>
      </c>
      <c r="B8">
        <v>95.3</v>
      </c>
      <c r="C8">
        <v>89.1</v>
      </c>
      <c r="D8" s="2" t="s">
        <v>27</v>
      </c>
      <c r="E8">
        <f>AVERAGE(B8,B10,B12)</f>
        <v>96.59999999999998</v>
      </c>
      <c r="F8">
        <f>AVERAGE(C8,C10,C12)</f>
        <v>95.433333333333323</v>
      </c>
      <c r="G8">
        <f>_xlfn.STDEV.P(B8,B10,B12)</f>
        <v>1.6309506430300136</v>
      </c>
      <c r="H8">
        <f>_xlfn.STDEV.P(C8,C10,C12)</f>
        <v>4.6885202593379338</v>
      </c>
    </row>
    <row r="9" spans="1:8" x14ac:dyDescent="0.4">
      <c r="A9" t="s">
        <v>6</v>
      </c>
      <c r="B9">
        <v>40.4</v>
      </c>
      <c r="C9">
        <v>43.8</v>
      </c>
      <c r="D9" s="2"/>
      <c r="E9">
        <f>AVERAGE(B9,B11,B13)</f>
        <v>43.833333333333336</v>
      </c>
      <c r="F9">
        <f>AVERAGE(C9,C11,C13)</f>
        <v>47.033333333333331</v>
      </c>
      <c r="G9">
        <f>_xlfn.STDEV.P(B9,B11,B13)</f>
        <v>2.5486379804820376</v>
      </c>
      <c r="H9">
        <f>_xlfn.STDEV.P(C9,C11,C13)</f>
        <v>2.3041026211713946</v>
      </c>
    </row>
    <row r="10" spans="1:8" x14ac:dyDescent="0.4">
      <c r="A10" t="s">
        <v>19</v>
      </c>
      <c r="B10">
        <v>95.6</v>
      </c>
      <c r="C10">
        <v>100.3</v>
      </c>
    </row>
    <row r="11" spans="1:8" x14ac:dyDescent="0.4">
      <c r="A11" t="s">
        <v>7</v>
      </c>
      <c r="B11">
        <v>44.6</v>
      </c>
      <c r="C11" s="1">
        <v>49</v>
      </c>
      <c r="D11" s="1"/>
    </row>
    <row r="12" spans="1:8" x14ac:dyDescent="0.4">
      <c r="A12" t="s">
        <v>20</v>
      </c>
      <c r="B12">
        <v>98.9</v>
      </c>
      <c r="C12">
        <v>96.9</v>
      </c>
    </row>
    <row r="13" spans="1:8" x14ac:dyDescent="0.4">
      <c r="A13" t="s">
        <v>8</v>
      </c>
      <c r="B13">
        <v>46.5</v>
      </c>
      <c r="C13">
        <v>48.3</v>
      </c>
    </row>
    <row r="14" spans="1:8" x14ac:dyDescent="0.4">
      <c r="A14" t="s">
        <v>15</v>
      </c>
      <c r="B14">
        <v>96.3</v>
      </c>
      <c r="C14">
        <v>90.9</v>
      </c>
      <c r="D14" s="2" t="s">
        <v>28</v>
      </c>
      <c r="E14">
        <f>AVERAGE(B14,B16,B18)</f>
        <v>98.733333333333334</v>
      </c>
      <c r="F14">
        <f>AVERAGE(C14,C16,C18)</f>
        <v>92.933333333333337</v>
      </c>
      <c r="G14">
        <f>_xlfn.STDEV.P(B14,B16,B18)</f>
        <v>2.289589968143253</v>
      </c>
      <c r="H14">
        <f>_xlfn.STDEV.P(C14,C16,C18)</f>
        <v>3.9075425639254275</v>
      </c>
    </row>
    <row r="15" spans="1:8" x14ac:dyDescent="0.4">
      <c r="A15" t="s">
        <v>3</v>
      </c>
      <c r="B15">
        <v>48.5</v>
      </c>
      <c r="C15">
        <v>46.4</v>
      </c>
      <c r="D15" s="2"/>
      <c r="E15">
        <f>AVERAGE(B15,B17,B19)</f>
        <v>49.066666666666663</v>
      </c>
      <c r="F15">
        <f>AVERAGE(C15,C17,C19)</f>
        <v>46.833333333333336</v>
      </c>
      <c r="G15">
        <f>_xlfn.STDEV.P(B15,B17,B19)</f>
        <v>0.49216076867444791</v>
      </c>
      <c r="H15">
        <f>_xlfn.STDEV.P(C15,C17,C19)</f>
        <v>2.023747898221405</v>
      </c>
    </row>
    <row r="16" spans="1:8" x14ac:dyDescent="0.4">
      <c r="A16" t="s">
        <v>16</v>
      </c>
      <c r="B16">
        <v>101.8</v>
      </c>
      <c r="C16">
        <v>98.4</v>
      </c>
    </row>
    <row r="17" spans="1:8" x14ac:dyDescent="0.4">
      <c r="A17" t="s">
        <v>4</v>
      </c>
      <c r="B17">
        <v>49.7</v>
      </c>
      <c r="C17">
        <v>49.5</v>
      </c>
    </row>
    <row r="18" spans="1:8" x14ac:dyDescent="0.4">
      <c r="A18" t="s">
        <v>17</v>
      </c>
      <c r="B18">
        <v>98.1</v>
      </c>
      <c r="C18">
        <v>89.5</v>
      </c>
    </row>
    <row r="19" spans="1:8" x14ac:dyDescent="0.4">
      <c r="A19" t="s">
        <v>5</v>
      </c>
      <c r="B19">
        <v>49</v>
      </c>
      <c r="C19">
        <v>44.6</v>
      </c>
    </row>
    <row r="20" spans="1:8" x14ac:dyDescent="0.4">
      <c r="A20" t="s">
        <v>12</v>
      </c>
      <c r="B20">
        <v>106.8</v>
      </c>
      <c r="C20">
        <v>95.1</v>
      </c>
      <c r="D20" s="2" t="s">
        <v>29</v>
      </c>
      <c r="E20">
        <f>AVERAGE(B20,B22,B24)</f>
        <v>103.36666666666667</v>
      </c>
      <c r="F20">
        <f>AVERAGE(C20,C22,C24)</f>
        <v>93</v>
      </c>
      <c r="G20">
        <f>_xlfn.STDEV.P(B20,B22,B24)</f>
        <v>3.3068951533962392</v>
      </c>
      <c r="H20">
        <f>_xlfn.STDEV.P(C20,C22,C24)</f>
        <v>3.6249137920783676</v>
      </c>
    </row>
    <row r="21" spans="1:8" x14ac:dyDescent="0.4">
      <c r="A21" t="s">
        <v>0</v>
      </c>
      <c r="B21">
        <v>49.4</v>
      </c>
      <c r="C21">
        <v>46.1</v>
      </c>
      <c r="D21" s="2"/>
      <c r="E21">
        <f>AVERAGE(B21,B23,B25)</f>
        <v>49.733333333333327</v>
      </c>
      <c r="F21">
        <f>AVERAGE(C21,C23,C25)</f>
        <v>45.966666666666669</v>
      </c>
      <c r="G21">
        <f>_xlfn.STDEV.P(B21,B23,B25)</f>
        <v>0.24944382578492982</v>
      </c>
      <c r="H21">
        <f>_xlfn.STDEV.P(C21,C23,C25)</f>
        <v>1.5542057635833011</v>
      </c>
    </row>
    <row r="22" spans="1:8" x14ac:dyDescent="0.4">
      <c r="A22" t="s">
        <v>13</v>
      </c>
      <c r="B22">
        <v>98.9</v>
      </c>
      <c r="C22">
        <v>96</v>
      </c>
    </row>
    <row r="23" spans="1:8" x14ac:dyDescent="0.4">
      <c r="A23" t="s">
        <v>1</v>
      </c>
      <c r="B23">
        <v>49.8</v>
      </c>
      <c r="C23">
        <v>47.8</v>
      </c>
    </row>
    <row r="24" spans="1:8" x14ac:dyDescent="0.4">
      <c r="A24" t="s">
        <v>14</v>
      </c>
      <c r="B24">
        <v>104.4</v>
      </c>
      <c r="C24">
        <v>87.9</v>
      </c>
    </row>
    <row r="25" spans="1:8" x14ac:dyDescent="0.4">
      <c r="A25" t="s">
        <v>2</v>
      </c>
      <c r="B25">
        <v>50</v>
      </c>
      <c r="C25">
        <v>44</v>
      </c>
    </row>
  </sheetData>
  <sortState xmlns:xlrd2="http://schemas.microsoft.com/office/spreadsheetml/2017/richdata2" ref="A2:C25">
    <sortCondition ref="A2:A25"/>
  </sortState>
  <mergeCells count="4">
    <mergeCell ref="D2:D3"/>
    <mergeCell ref="D8:D9"/>
    <mergeCell ref="D14:D15"/>
    <mergeCell ref="D20:D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2026-02-26T20:41:01Z</dcterms:modified>
</cp:coreProperties>
</file>