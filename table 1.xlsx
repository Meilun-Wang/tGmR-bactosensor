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2BEC8101-1F1A-4B44-A2FC-1CCE283D8EA6}" xr6:coauthVersionLast="47" xr6:coauthVersionMax="47" xr10:uidLastSave="{00000000-0000-0000-0000-000000000000}"/>
  <bookViews>
    <workbookView xWindow="1343" yWindow="98" windowWidth="14340" windowHeight="12779" xr2:uid="{00000000-000D-0000-FFFF-FFFF00000000}"/>
  </bookViews>
  <sheets>
    <sheet name="tap" sheetId="1" r:id="rId1"/>
    <sheet name="river" sheetId="3" r:id="rId2"/>
    <sheet name="lake" sheetId="2" r:id="rId3"/>
    <sheet name="Z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" l="1"/>
  <c r="J16" i="1"/>
  <c r="J13" i="1"/>
  <c r="J10" i="1"/>
  <c r="I10" i="1"/>
  <c r="I19" i="1"/>
  <c r="I16" i="1"/>
  <c r="I13" i="1"/>
  <c r="J10" i="2"/>
  <c r="G20" i="1"/>
  <c r="G21" i="1"/>
  <c r="G19" i="1"/>
  <c r="H19" i="1"/>
  <c r="H16" i="1"/>
  <c r="H13" i="1"/>
  <c r="H10" i="1"/>
  <c r="G17" i="1"/>
  <c r="G18" i="1"/>
  <c r="G16" i="1"/>
  <c r="G11" i="1"/>
  <c r="G12" i="1"/>
  <c r="G13" i="1"/>
  <c r="G14" i="1"/>
  <c r="G15" i="1"/>
  <c r="G10" i="1"/>
  <c r="F15" i="1"/>
  <c r="F14" i="1"/>
  <c r="F13" i="1"/>
  <c r="F17" i="1" l="1"/>
  <c r="F18" i="1"/>
  <c r="F19" i="1"/>
  <c r="F20" i="1"/>
  <c r="F21" i="1"/>
  <c r="F16" i="1"/>
  <c r="J13" i="3"/>
  <c r="J16" i="3"/>
  <c r="J19" i="3"/>
  <c r="J10" i="3"/>
  <c r="I10" i="3"/>
  <c r="G17" i="4"/>
  <c r="G16" i="4"/>
  <c r="J16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F18" i="4"/>
  <c r="G18" i="4" s="1"/>
  <c r="F17" i="4"/>
  <c r="F16" i="4"/>
  <c r="F15" i="4"/>
  <c r="G15" i="4" s="1"/>
  <c r="F14" i="4"/>
  <c r="G14" i="4" s="1"/>
  <c r="F13" i="4"/>
  <c r="G13" i="4" s="1"/>
  <c r="H21" i="2"/>
  <c r="G19" i="2"/>
  <c r="H19" i="2" s="1"/>
  <c r="G20" i="2"/>
  <c r="H20" i="2" s="1"/>
  <c r="G21" i="2"/>
  <c r="H18" i="2"/>
  <c r="G17" i="2"/>
  <c r="H17" i="2" s="1"/>
  <c r="G18" i="2"/>
  <c r="G16" i="2"/>
  <c r="H16" i="2" s="1"/>
  <c r="G13" i="2"/>
  <c r="H13" i="2" s="1"/>
  <c r="G14" i="2"/>
  <c r="H14" i="2" s="1"/>
  <c r="G15" i="2"/>
  <c r="H15" i="2" s="1"/>
  <c r="H10" i="3"/>
  <c r="H12" i="2"/>
  <c r="I19" i="3"/>
  <c r="H19" i="3"/>
  <c r="G20" i="3"/>
  <c r="G21" i="3"/>
  <c r="G19" i="3"/>
  <c r="I16" i="3"/>
  <c r="H16" i="3"/>
  <c r="G17" i="3"/>
  <c r="G18" i="3"/>
  <c r="G16" i="3"/>
  <c r="F19" i="3"/>
  <c r="F20" i="3"/>
  <c r="F21" i="3"/>
  <c r="F16" i="3"/>
  <c r="F17" i="3"/>
  <c r="F18" i="3"/>
  <c r="G11" i="3"/>
  <c r="G12" i="3"/>
  <c r="G13" i="3"/>
  <c r="G14" i="3"/>
  <c r="G10" i="3"/>
  <c r="F11" i="3"/>
  <c r="F12" i="3"/>
  <c r="F13" i="3"/>
  <c r="F14" i="3"/>
  <c r="F15" i="3"/>
  <c r="G15" i="3" s="1"/>
  <c r="F10" i="3"/>
  <c r="G12" i="2"/>
  <c r="G11" i="2"/>
  <c r="H11" i="2" s="1"/>
  <c r="G10" i="2"/>
  <c r="H10" i="2" s="1"/>
  <c r="F11" i="1"/>
  <c r="F12" i="1"/>
  <c r="F10" i="1"/>
  <c r="J22" i="4" l="1"/>
  <c r="J13" i="4"/>
  <c r="K10" i="2"/>
  <c r="K13" i="2"/>
  <c r="I16" i="2"/>
  <c r="J16" i="2" s="1"/>
  <c r="K16" i="2"/>
  <c r="I19" i="2"/>
  <c r="J19" i="2" s="1"/>
  <c r="K19" i="2"/>
  <c r="I10" i="2"/>
  <c r="G19" i="4"/>
  <c r="H13" i="4"/>
  <c r="I13" i="4" s="1"/>
  <c r="H16" i="4"/>
  <c r="I16" i="4" s="1"/>
  <c r="H22" i="4"/>
  <c r="I22" i="4" s="1"/>
  <c r="I13" i="2"/>
  <c r="J13" i="2" s="1"/>
  <c r="H13" i="3"/>
  <c r="I13" i="3" s="1"/>
  <c r="H19" i="4" l="1"/>
  <c r="I19" i="4" s="1"/>
  <c r="J19" i="4"/>
</calcChain>
</file>

<file path=xl/sharedStrings.xml><?xml version="1.0" encoding="utf-8"?>
<sst xmlns="http://schemas.openxmlformats.org/spreadsheetml/2006/main" count="52" uniqueCount="14">
  <si>
    <t>liner</t>
    <phoneticPr fontId="1" type="noConversion"/>
  </si>
  <si>
    <t>tet</t>
    <phoneticPr fontId="1" type="noConversion"/>
  </si>
  <si>
    <t>ery+50tet</t>
    <phoneticPr fontId="1" type="noConversion"/>
  </si>
  <si>
    <t>ery+100tet</t>
    <phoneticPr fontId="1" type="noConversion"/>
  </si>
  <si>
    <t>GFP/OD</t>
    <phoneticPr fontId="1" type="noConversion"/>
  </si>
  <si>
    <t>n</t>
    <phoneticPr fontId="1" type="noConversion"/>
  </si>
  <si>
    <t>RFP/OD</t>
    <phoneticPr fontId="1" type="noConversion"/>
  </si>
  <si>
    <t>RSD</t>
    <phoneticPr fontId="1" type="noConversion"/>
  </si>
  <si>
    <t>TET50</t>
    <phoneticPr fontId="1" type="noConversion"/>
  </si>
  <si>
    <t>TET100</t>
    <phoneticPr fontId="1" type="noConversion"/>
  </si>
  <si>
    <t>ERY50</t>
    <phoneticPr fontId="1" type="noConversion"/>
  </si>
  <si>
    <t>ERY100</t>
    <phoneticPr fontId="1" type="noConversion"/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</si>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</sst>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5"/>
      <color rgb="FF333333"/>
      <name val="Segoe UI"/>
      <family val="2"/>
    </font>
    <font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2" fontId="2" fillId="0" borderId="0" xfId="0" applyNumberFormat="1" applyFont="1" applyAlignment="1">
      <alignment horizontal="left" vertical="center" wrapText="1" indent="1"/>
    </xf>
    <xf numFmtId="2" fontId="3" fillId="0" borderId="0" xfId="0" applyNumberFormat="1" applyFont="1" applyAlignment="1">
      <alignment horizontal="left" vertical="center" wrapText="1" indent="1"/>
    </xf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I19" sqref="I10:I19"/>
    </sheetView>
  </sheetViews>
  <sheetFormatPr defaultRowHeight="13.9" x14ac:dyDescent="0.4"/>
  <cols>
    <col min="9" max="9" width="9.46484375" bestFit="1" customWidth="1"/>
  </cols>
  <sheetData>
    <row r="1" spans="1:12" x14ac:dyDescent="0.4">
      <c r="A1" t="s">
        <v>0</v>
      </c>
    </row>
    <row r="2" spans="1:12" x14ac:dyDescent="0.4">
      <c r="A2" t="s">
        <v>1</v>
      </c>
      <c r="E2" t="s">
        <v>2</v>
      </c>
      <c r="I2" t="s">
        <v>3</v>
      </c>
    </row>
    <row r="3" spans="1:12" x14ac:dyDescent="0.4">
      <c r="A3">
        <v>40</v>
      </c>
      <c r="B3">
        <v>5109.2784000000001</v>
      </c>
      <c r="C3">
        <v>5351.6746000000003</v>
      </c>
      <c r="D3">
        <v>5590.3083999999999</v>
      </c>
      <c r="E3">
        <v>40</v>
      </c>
      <c r="F3">
        <v>405.0104</v>
      </c>
      <c r="G3">
        <v>531.61590000000001</v>
      </c>
      <c r="H3">
        <v>486.5471</v>
      </c>
      <c r="I3">
        <v>50</v>
      </c>
      <c r="J3">
        <v>997.22220000000004</v>
      </c>
      <c r="K3">
        <v>823.38900000000001</v>
      </c>
      <c r="L3">
        <v>659.86389999999994</v>
      </c>
    </row>
    <row r="4" spans="1:12" x14ac:dyDescent="0.4">
      <c r="A4">
        <v>50</v>
      </c>
      <c r="B4">
        <v>5310.6211999999996</v>
      </c>
      <c r="C4">
        <v>5688.0951999999997</v>
      </c>
      <c r="D4">
        <v>5899.3434999999999</v>
      </c>
      <c r="E4">
        <v>50</v>
      </c>
      <c r="F4">
        <v>585.56700000000001</v>
      </c>
      <c r="G4">
        <v>777.52290000000005</v>
      </c>
      <c r="H4">
        <v>719.02650000000006</v>
      </c>
      <c r="I4">
        <v>75</v>
      </c>
      <c r="J4">
        <v>956.96720000000005</v>
      </c>
      <c r="K4">
        <v>1746.0317</v>
      </c>
      <c r="L4">
        <v>1210.3004000000001</v>
      </c>
    </row>
    <row r="5" spans="1:12" x14ac:dyDescent="0.4">
      <c r="A5">
        <v>75</v>
      </c>
      <c r="B5">
        <v>5841.8891000000003</v>
      </c>
      <c r="C5">
        <v>6335</v>
      </c>
      <c r="D5">
        <v>6608.7911999999997</v>
      </c>
      <c r="E5">
        <v>75</v>
      </c>
      <c r="F5">
        <v>1180.1242</v>
      </c>
      <c r="G5">
        <v>1695.5504000000001</v>
      </c>
      <c r="H5">
        <v>1403.1179999999999</v>
      </c>
      <c r="I5">
        <v>100</v>
      </c>
      <c r="J5">
        <v>2516.7363999999998</v>
      </c>
      <c r="K5">
        <v>4319.4444000000003</v>
      </c>
      <c r="L5">
        <v>3159.5506</v>
      </c>
    </row>
    <row r="6" spans="1:12" x14ac:dyDescent="0.4">
      <c r="A6">
        <v>100</v>
      </c>
      <c r="B6">
        <v>6491.7012000000004</v>
      </c>
      <c r="C6">
        <v>7305.9125999999997</v>
      </c>
      <c r="D6">
        <v>7479.1208999999999</v>
      </c>
      <c r="E6">
        <v>100</v>
      </c>
      <c r="F6">
        <v>3254.6201000000001</v>
      </c>
      <c r="G6">
        <v>4334.0909000000001</v>
      </c>
      <c r="H6">
        <v>3122.8069999999998</v>
      </c>
      <c r="I6">
        <v>125</v>
      </c>
      <c r="J6">
        <v>4140.2061999999996</v>
      </c>
      <c r="K6">
        <v>5016.1289999999999</v>
      </c>
      <c r="L6">
        <v>4111.1111000000001</v>
      </c>
    </row>
    <row r="7" spans="1:12" x14ac:dyDescent="0.4">
      <c r="A7">
        <v>125</v>
      </c>
      <c r="B7">
        <v>7446.1207000000004</v>
      </c>
      <c r="C7">
        <v>8146.4286000000002</v>
      </c>
      <c r="D7">
        <v>8328.8888999999999</v>
      </c>
      <c r="E7">
        <v>125</v>
      </c>
      <c r="F7">
        <v>4140.2061999999996</v>
      </c>
      <c r="G7">
        <v>5016.1289999999999</v>
      </c>
      <c r="H7">
        <v>4111.1111000000001</v>
      </c>
      <c r="I7">
        <v>150</v>
      </c>
      <c r="J7">
        <v>6262.7290999999996</v>
      </c>
      <c r="K7">
        <v>8737.5565999999999</v>
      </c>
      <c r="L7">
        <v>7160.4395999999997</v>
      </c>
    </row>
    <row r="8" spans="1:12" x14ac:dyDescent="0.4">
      <c r="I8">
        <v>200</v>
      </c>
      <c r="J8">
        <v>8551.6528999999991</v>
      </c>
      <c r="K8">
        <v>12497.757799999999</v>
      </c>
      <c r="L8">
        <v>11015.283799999999</v>
      </c>
    </row>
    <row r="9" spans="1:12" x14ac:dyDescent="0.4">
      <c r="B9" t="s">
        <v>5</v>
      </c>
      <c r="H9" t="s">
        <v>12</v>
      </c>
      <c r="I9" t="s">
        <v>7</v>
      </c>
      <c r="J9" t="s">
        <v>13</v>
      </c>
    </row>
    <row r="10" spans="1:12" x14ac:dyDescent="0.4">
      <c r="A10" t="s">
        <v>4</v>
      </c>
      <c r="B10">
        <v>1</v>
      </c>
      <c r="C10" s="1">
        <v>5364.7798742138357</v>
      </c>
      <c r="D10" s="1">
        <v>5490.566037735849</v>
      </c>
      <c r="E10" s="1">
        <v>5585.0340136054419</v>
      </c>
      <c r="F10">
        <f>AVERAGE(C10:E10)</f>
        <v>5480.1266418517089</v>
      </c>
      <c r="G10">
        <f>(F10-4120.91)/30.11</f>
        <v>45.141701821710697</v>
      </c>
      <c r="H10" s="2">
        <f>AVERAGE(G10:G12)</f>
        <v>46.14579197770928</v>
      </c>
      <c r="I10" s="5">
        <f>STDEV(G10:G12)/H10</f>
        <v>3.7665824600134089E-2</v>
      </c>
      <c r="J10" s="2">
        <f>STDEV(G10:G12)</f>
        <v>1.7381193066666725</v>
      </c>
    </row>
    <row r="11" spans="1:12" x14ac:dyDescent="0.4">
      <c r="B11">
        <v>2</v>
      </c>
      <c r="C11" s="1">
        <v>5504.3668122270738</v>
      </c>
      <c r="D11" s="1">
        <v>5671.875</v>
      </c>
      <c r="E11" s="1">
        <v>5536.1305361305358</v>
      </c>
      <c r="F11">
        <f t="shared" ref="F11:F15" si="0">AVERAGE(C11:E11)</f>
        <v>5570.7907827858699</v>
      </c>
      <c r="G11">
        <f t="shared" ref="G11:G15" si="1">(F11-4120.91)/30.11</f>
        <v>48.152799162599472</v>
      </c>
      <c r="H11" s="2"/>
      <c r="I11" s="5"/>
      <c r="J11" s="2"/>
    </row>
    <row r="12" spans="1:12" x14ac:dyDescent="0.4">
      <c r="B12">
        <v>3</v>
      </c>
      <c r="C12" s="1">
        <v>5308.823529411764</v>
      </c>
      <c r="D12" s="1">
        <v>5480.3921568627447</v>
      </c>
      <c r="E12" s="1">
        <v>5651.2702078521943</v>
      </c>
      <c r="F12">
        <f t="shared" si="0"/>
        <v>5480.1619647089001</v>
      </c>
      <c r="G12">
        <f t="shared" si="1"/>
        <v>45.142874948817678</v>
      </c>
      <c r="H12" s="2"/>
      <c r="I12" s="5"/>
      <c r="J12" s="2"/>
    </row>
    <row r="13" spans="1:12" x14ac:dyDescent="0.4">
      <c r="A13" t="s">
        <v>4</v>
      </c>
      <c r="B13">
        <v>1</v>
      </c>
      <c r="C13">
        <v>7058.8309312944366</v>
      </c>
      <c r="D13">
        <v>7009.4640399156033</v>
      </c>
      <c r="E13">
        <v>7148.6471775502905</v>
      </c>
      <c r="F13">
        <f t="shared" si="0"/>
        <v>7072.3140495867774</v>
      </c>
      <c r="G13">
        <f t="shared" si="1"/>
        <v>98.020725658810278</v>
      </c>
      <c r="H13" s="2">
        <f>AVERAGE(G13:G15)</f>
        <v>90.909854311398931</v>
      </c>
      <c r="I13" s="5">
        <f>STDEV(G13:G15)/H13</f>
        <v>7.1750700281254173E-2</v>
      </c>
      <c r="J13" s="2">
        <f>STDEV(G13:G15)</f>
        <v>6.5228457093096672</v>
      </c>
    </row>
    <row r="14" spans="1:12" x14ac:dyDescent="0.4">
      <c r="B14">
        <v>2</v>
      </c>
      <c r="C14">
        <v>6702.8297098797266</v>
      </c>
      <c r="D14">
        <v>6832.1161537222288</v>
      </c>
      <c r="E14">
        <v>6912.7528811679185</v>
      </c>
      <c r="F14">
        <f t="shared" si="0"/>
        <v>6815.899581589958</v>
      </c>
      <c r="G14">
        <f t="shared" si="1"/>
        <v>89.504801779805987</v>
      </c>
      <c r="H14" s="3"/>
      <c r="I14" s="5"/>
      <c r="J14" s="2"/>
    </row>
    <row r="15" spans="1:12" x14ac:dyDescent="0.4">
      <c r="B15">
        <v>3</v>
      </c>
      <c r="C15">
        <v>6575.200190766046</v>
      </c>
      <c r="D15">
        <v>6617.60868003632</v>
      </c>
      <c r="E15">
        <v>6866.4016555134185</v>
      </c>
      <c r="F15">
        <f t="shared" si="0"/>
        <v>6686.4035087719285</v>
      </c>
      <c r="G15">
        <f t="shared" si="1"/>
        <v>85.204035495580499</v>
      </c>
      <c r="H15" s="3"/>
      <c r="I15" s="5"/>
      <c r="J15" s="2"/>
    </row>
    <row r="16" spans="1:12" x14ac:dyDescent="0.4">
      <c r="A16" t="s">
        <v>6</v>
      </c>
      <c r="B16">
        <v>1</v>
      </c>
      <c r="C16" s="1">
        <v>659.90990990990986</v>
      </c>
      <c r="D16" s="1">
        <v>720.31662269129288</v>
      </c>
      <c r="E16" s="1">
        <v>720.69825436408973</v>
      </c>
      <c r="F16" s="1">
        <f>AVERAGE(C16:E16)</f>
        <v>700.30826232176423</v>
      </c>
      <c r="G16" s="1">
        <f>(F16+1157.8)/39.41</f>
        <v>47.148141647342406</v>
      </c>
      <c r="H16" s="2">
        <f>AVERAGE(G16:G18)</f>
        <v>46.536402890712168</v>
      </c>
      <c r="I16" s="5">
        <f>STDEV(G16:G18)/H16</f>
        <v>1.1682305800868164E-2</v>
      </c>
      <c r="J16" s="2">
        <f>STDEV(G16:G18)</f>
        <v>0.54365248944170474</v>
      </c>
    </row>
    <row r="17" spans="1:10" x14ac:dyDescent="0.4">
      <c r="B17">
        <v>2</v>
      </c>
      <c r="C17" s="1">
        <v>515.3374233128834</v>
      </c>
      <c r="D17" s="1">
        <v>777.23970944309917</v>
      </c>
      <c r="E17" s="1">
        <v>714.28571428571433</v>
      </c>
      <c r="F17" s="1">
        <f t="shared" ref="F17:F21" si="2">AVERAGE(C17:E17)</f>
        <v>668.95428234723238</v>
      </c>
      <c r="G17" s="1">
        <f t="shared" ref="G17:G18" si="3">(F17+1157.8)/39.41</f>
        <v>46.352557278539265</v>
      </c>
      <c r="H17" s="2"/>
      <c r="I17" s="5"/>
      <c r="J17" s="2"/>
    </row>
    <row r="18" spans="1:10" x14ac:dyDescent="0.4">
      <c r="B18">
        <v>3</v>
      </c>
      <c r="C18" s="1">
        <v>589.69072164948443</v>
      </c>
      <c r="D18" s="1">
        <v>765</v>
      </c>
      <c r="E18" s="1">
        <v>623.31838565022417</v>
      </c>
      <c r="F18" s="1">
        <f t="shared" si="2"/>
        <v>659.33636909990287</v>
      </c>
      <c r="G18" s="1">
        <f t="shared" si="3"/>
        <v>46.108509746254832</v>
      </c>
      <c r="H18" s="2"/>
      <c r="I18" s="5"/>
      <c r="J18" s="2"/>
    </row>
    <row r="19" spans="1:10" x14ac:dyDescent="0.4">
      <c r="A19" t="s">
        <v>6</v>
      </c>
      <c r="B19">
        <v>1</v>
      </c>
      <c r="C19" s="1">
        <v>1993.5760171306208</v>
      </c>
      <c r="D19" s="1">
        <v>3161.4457831325299</v>
      </c>
      <c r="E19" s="1">
        <v>3156.6820276497697</v>
      </c>
      <c r="F19" s="1">
        <f t="shared" si="2"/>
        <v>2770.5679426376405</v>
      </c>
      <c r="G19">
        <f>(F19+1894.67)/52.27</f>
        <v>89.252686868904547</v>
      </c>
      <c r="H19" s="2">
        <f>AVERAGE(G19:G21)</f>
        <v>92.90430626817124</v>
      </c>
      <c r="I19" s="5">
        <f>STDEV(G19:G21)/H19</f>
        <v>8.1149379943145541E-2</v>
      </c>
      <c r="J19" s="2">
        <f>STDEV(G19:G21)</f>
        <v>7.539126847710186</v>
      </c>
    </row>
    <row r="20" spans="1:10" x14ac:dyDescent="0.4">
      <c r="B20">
        <v>2</v>
      </c>
      <c r="C20" s="1">
        <v>2343.6853002070393</v>
      </c>
      <c r="D20" s="1">
        <v>3257.1428571428573</v>
      </c>
      <c r="E20" s="1">
        <v>2496.6139954853275</v>
      </c>
      <c r="F20" s="1">
        <f t="shared" si="2"/>
        <v>2699.1473842784085</v>
      </c>
      <c r="G20">
        <f t="shared" ref="G20:G21" si="4">(F20+1894.67)/52.27</f>
        <v>87.886309245808476</v>
      </c>
    </row>
    <row r="21" spans="1:10" x14ac:dyDescent="0.4">
      <c r="B21">
        <v>3</v>
      </c>
      <c r="C21" s="1">
        <v>2452.8301886792451</v>
      </c>
      <c r="D21" s="1">
        <v>4622.7848101265818</v>
      </c>
      <c r="E21" s="1">
        <v>3168.181818181818</v>
      </c>
      <c r="F21" s="1">
        <f t="shared" si="2"/>
        <v>3414.5989389958813</v>
      </c>
      <c r="G21">
        <f t="shared" si="4"/>
        <v>101.57392268980067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77E3-9003-4E2D-A8BB-F6D7F1D513E4}">
  <dimension ref="A1:M21"/>
  <sheetViews>
    <sheetView workbookViewId="0">
      <selection activeCell="K14" sqref="K14"/>
    </sheetView>
  </sheetViews>
  <sheetFormatPr defaultRowHeight="13.9" x14ac:dyDescent="0.4"/>
  <cols>
    <col min="8" max="8" width="13.265625" bestFit="1" customWidth="1"/>
  </cols>
  <sheetData>
    <row r="1" spans="1:13" x14ac:dyDescent="0.4">
      <c r="A1" t="s">
        <v>0</v>
      </c>
    </row>
    <row r="2" spans="1:13" x14ac:dyDescent="0.4">
      <c r="A2" t="s">
        <v>1</v>
      </c>
      <c r="E2" t="s">
        <v>2</v>
      </c>
      <c r="I2" t="s">
        <v>3</v>
      </c>
    </row>
    <row r="3" spans="1:13" x14ac:dyDescent="0.4">
      <c r="A3">
        <v>40</v>
      </c>
      <c r="B3">
        <v>5792.1526999999996</v>
      </c>
      <c r="C3">
        <v>5063.6079</v>
      </c>
      <c r="D3">
        <v>5080.7974999999997</v>
      </c>
      <c r="E3">
        <v>40</v>
      </c>
      <c r="F3">
        <v>408.29020000000003</v>
      </c>
      <c r="G3">
        <v>397.94869999999997</v>
      </c>
      <c r="H3">
        <v>336.4486</v>
      </c>
      <c r="I3">
        <v>50</v>
      </c>
      <c r="J3">
        <v>449.02159999999998</v>
      </c>
      <c r="K3">
        <v>408.6687</v>
      </c>
      <c r="L3">
        <v>393.34030000000001</v>
      </c>
      <c r="M3">
        <v>417.0102</v>
      </c>
    </row>
    <row r="4" spans="1:13" x14ac:dyDescent="0.4">
      <c r="A4">
        <v>50</v>
      </c>
      <c r="B4">
        <v>5911.6719000000003</v>
      </c>
      <c r="C4">
        <v>5180.5986000000003</v>
      </c>
      <c r="D4">
        <v>5123.0609999999997</v>
      </c>
      <c r="E4">
        <v>50</v>
      </c>
      <c r="F4">
        <v>425.48820000000001</v>
      </c>
      <c r="G4">
        <v>431.65469999999999</v>
      </c>
      <c r="H4">
        <v>472.76459999999997</v>
      </c>
      <c r="I4">
        <v>75</v>
      </c>
      <c r="J4">
        <v>656.53499999999997</v>
      </c>
      <c r="K4">
        <v>733.66830000000004</v>
      </c>
      <c r="L4">
        <v>624.62459999999999</v>
      </c>
      <c r="M4">
        <v>671.60929999999996</v>
      </c>
    </row>
    <row r="5" spans="1:13" x14ac:dyDescent="0.4">
      <c r="A5">
        <v>75</v>
      </c>
      <c r="B5">
        <v>6072.1103000000003</v>
      </c>
      <c r="C5">
        <v>5528.6756999999998</v>
      </c>
      <c r="D5">
        <v>5506.7358000000004</v>
      </c>
      <c r="E5">
        <v>75</v>
      </c>
      <c r="F5">
        <v>900.31479999999999</v>
      </c>
      <c r="G5">
        <v>950.15260000000001</v>
      </c>
      <c r="H5">
        <v>904.81280000000004</v>
      </c>
      <c r="I5">
        <v>100</v>
      </c>
      <c r="J5">
        <v>1050.4634000000001</v>
      </c>
      <c r="K5">
        <v>1197.5435</v>
      </c>
      <c r="L5">
        <v>1215.3690999999999</v>
      </c>
      <c r="M5">
        <v>1154.4586999999999</v>
      </c>
    </row>
    <row r="6" spans="1:13" x14ac:dyDescent="0.4">
      <c r="A6">
        <v>100</v>
      </c>
      <c r="B6">
        <v>6519.7017999999998</v>
      </c>
      <c r="C6">
        <v>5953.7329</v>
      </c>
      <c r="D6">
        <v>5816.6837999999998</v>
      </c>
      <c r="E6">
        <v>100</v>
      </c>
      <c r="F6">
        <v>951.2953</v>
      </c>
      <c r="G6">
        <v>1434.4684999999999</v>
      </c>
      <c r="H6">
        <v>1267.0051000000001</v>
      </c>
      <c r="I6">
        <v>125</v>
      </c>
      <c r="J6">
        <v>1717.1922999999999</v>
      </c>
      <c r="K6">
        <v>2245.2260999999999</v>
      </c>
      <c r="L6">
        <v>1741.7417</v>
      </c>
      <c r="M6">
        <v>1901.3867</v>
      </c>
    </row>
    <row r="7" spans="1:13" x14ac:dyDescent="0.4">
      <c r="A7">
        <v>125</v>
      </c>
      <c r="B7">
        <v>6933.7676000000001</v>
      </c>
      <c r="C7">
        <v>6647.2492000000002</v>
      </c>
      <c r="D7">
        <v>6446.3337000000001</v>
      </c>
      <c r="E7">
        <v>125</v>
      </c>
      <c r="F7">
        <v>1732.9127000000001</v>
      </c>
      <c r="G7">
        <v>2706.3741</v>
      </c>
      <c r="H7">
        <v>2209.6608000000001</v>
      </c>
    </row>
    <row r="9" spans="1:13" x14ac:dyDescent="0.4">
      <c r="B9" t="s">
        <v>5</v>
      </c>
      <c r="H9" t="s">
        <v>12</v>
      </c>
      <c r="I9" t="s">
        <v>7</v>
      </c>
      <c r="J9" t="s">
        <v>13</v>
      </c>
    </row>
    <row r="10" spans="1:13" x14ac:dyDescent="0.4">
      <c r="A10" t="s">
        <v>4</v>
      </c>
      <c r="B10">
        <v>1</v>
      </c>
      <c r="C10" s="1">
        <v>5724.4174265450856</v>
      </c>
      <c r="D10" s="1">
        <v>4996.948118006103</v>
      </c>
      <c r="E10" s="1">
        <v>4873.6097067745195</v>
      </c>
      <c r="F10">
        <f>AVERAGE(C10:E10)</f>
        <v>5198.3250837752357</v>
      </c>
      <c r="G10">
        <f>(F10-4407.12)/18.5</f>
        <v>42.767842366228962</v>
      </c>
      <c r="H10" s="2">
        <f>AVERAGE(G10:G12)</f>
        <v>42.680763605048696</v>
      </c>
      <c r="I10">
        <f>STDEV(G10:G12)/H10</f>
        <v>2.9358919165854203E-2</v>
      </c>
      <c r="J10" s="2">
        <f>STDEV(G10:G12)</f>
        <v>1.2530610886175566</v>
      </c>
    </row>
    <row r="11" spans="1:13" x14ac:dyDescent="0.4">
      <c r="A11">
        <v>50</v>
      </c>
      <c r="B11">
        <v>2</v>
      </c>
      <c r="C11" s="1">
        <v>5765.9352142110756</v>
      </c>
      <c r="D11" s="1">
        <v>5007.3452256033579</v>
      </c>
      <c r="E11" s="1">
        <v>4883.864337101747</v>
      </c>
      <c r="F11">
        <f t="shared" ref="F11:F21" si="0">AVERAGE(C11:E11)</f>
        <v>5219.0482589720596</v>
      </c>
      <c r="G11">
        <f t="shared" ref="G11:G15" si="1">(F11-4407.12)/18.5</f>
        <v>43.888013998489711</v>
      </c>
      <c r="H11" s="2"/>
      <c r="J11" s="2"/>
    </row>
    <row r="12" spans="1:13" x14ac:dyDescent="0.4">
      <c r="B12">
        <v>3</v>
      </c>
      <c r="C12" s="1">
        <v>5740.1812688821747</v>
      </c>
      <c r="D12" s="1">
        <v>4980.5924412665981</v>
      </c>
      <c r="E12" s="1">
        <v>4797.5334018499479</v>
      </c>
      <c r="F12">
        <f t="shared" si="0"/>
        <v>5172.7690373329069</v>
      </c>
      <c r="G12">
        <f t="shared" si="1"/>
        <v>41.386434450427409</v>
      </c>
      <c r="H12" s="2"/>
      <c r="J12" s="2"/>
    </row>
    <row r="13" spans="1:13" ht="15.4" x14ac:dyDescent="0.4">
      <c r="A13" t="s">
        <v>4</v>
      </c>
      <c r="B13">
        <v>1</v>
      </c>
      <c r="C13" s="1">
        <v>5924.2902208201886</v>
      </c>
      <c r="D13" s="1">
        <v>6014.8777895855474</v>
      </c>
      <c r="E13" s="1">
        <v>6024.8704663212429</v>
      </c>
      <c r="F13">
        <f t="shared" si="0"/>
        <v>5988.0128255756599</v>
      </c>
      <c r="G13">
        <f t="shared" si="1"/>
        <v>85.453666247332976</v>
      </c>
      <c r="H13" s="4">
        <f>AVERAGE(G13:G15)</f>
        <v>87.238713434152871</v>
      </c>
      <c r="I13">
        <f>STDEV(G13:G15)/H13</f>
        <v>2.9206049445885875E-2</v>
      </c>
      <c r="J13" s="2">
        <f t="shared" ref="J13:J19" si="2">STDEV(G13:G15)</f>
        <v>2.547898178153337</v>
      </c>
    </row>
    <row r="14" spans="1:13" ht="15.4" x14ac:dyDescent="0.4">
      <c r="A14">
        <v>100</v>
      </c>
      <c r="B14">
        <v>2</v>
      </c>
      <c r="C14" s="1">
        <v>5964.250248262164</v>
      </c>
      <c r="D14" s="1">
        <v>6081.2182741116749</v>
      </c>
      <c r="E14" s="1">
        <v>5954.7689282202546</v>
      </c>
      <c r="F14">
        <f t="shared" si="0"/>
        <v>6000.0791501980311</v>
      </c>
      <c r="G14">
        <f t="shared" si="1"/>
        <v>86.105900010704389</v>
      </c>
      <c r="H14" s="4"/>
      <c r="J14" s="2"/>
    </row>
    <row r="15" spans="1:13" ht="15.4" x14ac:dyDescent="0.4">
      <c r="B15">
        <v>3</v>
      </c>
      <c r="C15" s="1">
        <v>6191.5103652517264</v>
      </c>
      <c r="D15" s="1">
        <v>5962.0379620379617</v>
      </c>
      <c r="E15" s="1">
        <v>6071.5015321756891</v>
      </c>
      <c r="F15">
        <f t="shared" si="0"/>
        <v>6075.0166198217921</v>
      </c>
      <c r="G15">
        <f t="shared" si="1"/>
        <v>90.156574044421205</v>
      </c>
      <c r="H15" s="4"/>
      <c r="J15" s="2"/>
    </row>
    <row r="16" spans="1:13" ht="15.4" x14ac:dyDescent="0.4">
      <c r="A16" t="s">
        <v>6</v>
      </c>
      <c r="B16">
        <v>1</v>
      </c>
      <c r="C16" s="1">
        <v>463.2426988922457</v>
      </c>
      <c r="D16" s="1">
        <v>435.1378958120531</v>
      </c>
      <c r="E16" s="1">
        <v>384.37821171634118</v>
      </c>
      <c r="F16">
        <f t="shared" si="0"/>
        <v>427.58626880688001</v>
      </c>
      <c r="G16" s="1">
        <f>(F16+363.69)/16.94</f>
        <v>46.710523542318768</v>
      </c>
      <c r="H16" s="4">
        <f t="shared" ref="H16:H19" si="3">AVERAGE(G16:G18)</f>
        <v>47.146669273685994</v>
      </c>
      <c r="I16">
        <f t="shared" ref="I16:I19" si="4">STDEV(G16:G18)/H16</f>
        <v>2.3171813420603135E-2</v>
      </c>
      <c r="J16" s="2">
        <f t="shared" si="2"/>
        <v>1.0924738238127345</v>
      </c>
    </row>
    <row r="17" spans="1:10" ht="15.4" x14ac:dyDescent="0.4">
      <c r="A17">
        <v>50</v>
      </c>
      <c r="B17">
        <v>2</v>
      </c>
      <c r="C17" s="1">
        <v>454.81628599801383</v>
      </c>
      <c r="D17" s="1">
        <v>427.85065590312809</v>
      </c>
      <c r="E17" s="1">
        <v>381.24362895005095</v>
      </c>
      <c r="F17">
        <f t="shared" si="0"/>
        <v>421.30352361706429</v>
      </c>
      <c r="G17" s="1">
        <f t="shared" ref="G17:G18" si="5">(F17+363.69)/16.94</f>
        <v>46.339641299708632</v>
      </c>
      <c r="H17" s="4"/>
      <c r="J17" s="2"/>
    </row>
    <row r="18" spans="1:10" ht="15.4" x14ac:dyDescent="0.4">
      <c r="B18">
        <v>3</v>
      </c>
      <c r="C18" s="1">
        <v>505.47263681592034</v>
      </c>
      <c r="D18" s="1">
        <v>432.76036400404445</v>
      </c>
      <c r="E18" s="1">
        <v>429.86881937436925</v>
      </c>
      <c r="F18">
        <f t="shared" si="0"/>
        <v>456.03394006477805</v>
      </c>
      <c r="G18" s="1">
        <f t="shared" si="5"/>
        <v>48.389842979030576</v>
      </c>
      <c r="H18" s="4"/>
      <c r="J18" s="2"/>
    </row>
    <row r="19" spans="1:10" ht="15.4" x14ac:dyDescent="0.4">
      <c r="A19" t="s">
        <v>6</v>
      </c>
      <c r="B19">
        <v>1</v>
      </c>
      <c r="C19" s="1">
        <v>815.11746680286001</v>
      </c>
      <c r="D19" s="1">
        <v>954.12844036697243</v>
      </c>
      <c r="E19" s="1">
        <v>879.00723888314371</v>
      </c>
      <c r="F19">
        <f t="shared" si="0"/>
        <v>882.75104868432538</v>
      </c>
      <c r="G19">
        <f>(F19+298.85)/14.06</f>
        <v>84.039903889354576</v>
      </c>
      <c r="H19" s="4">
        <f t="shared" si="3"/>
        <v>82.511915088669113</v>
      </c>
      <c r="I19">
        <f t="shared" si="4"/>
        <v>2.5120269762267881E-2</v>
      </c>
      <c r="J19" s="2">
        <f t="shared" si="2"/>
        <v>2.0727215656287097</v>
      </c>
    </row>
    <row r="20" spans="1:10" x14ac:dyDescent="0.4">
      <c r="A20">
        <v>100</v>
      </c>
      <c r="B20">
        <v>2</v>
      </c>
      <c r="C20" s="1">
        <v>929.91115498519241</v>
      </c>
      <c r="D20" s="1">
        <v>1001.0070493454178</v>
      </c>
      <c r="E20" s="1">
        <v>687.9505664263645</v>
      </c>
      <c r="F20">
        <f t="shared" si="0"/>
        <v>872.95625691899158</v>
      </c>
      <c r="G20">
        <f t="shared" ref="G20:G21" si="6">(F20+298.85)/14.06</f>
        <v>83.343261516286731</v>
      </c>
    </row>
    <row r="21" spans="1:10" x14ac:dyDescent="0.4">
      <c r="B21">
        <v>3</v>
      </c>
      <c r="C21" s="1">
        <v>824.12060301507529</v>
      </c>
      <c r="D21" s="1">
        <v>921.07892107892098</v>
      </c>
      <c r="E21" s="1">
        <v>739.08629441624362</v>
      </c>
      <c r="F21">
        <f t="shared" si="0"/>
        <v>828.09527283674663</v>
      </c>
      <c r="G21">
        <f t="shared" si="6"/>
        <v>80.152579860366046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1D46-42D0-404F-B397-503F10069277}">
  <dimension ref="A1:M21"/>
  <sheetViews>
    <sheetView workbookViewId="0">
      <selection activeCell="I10" sqref="I10:I19"/>
    </sheetView>
  </sheetViews>
  <sheetFormatPr defaultRowHeight="13.9" x14ac:dyDescent="0.4"/>
  <sheetData>
    <row r="1" spans="1:13" x14ac:dyDescent="0.4">
      <c r="B1" t="s">
        <v>0</v>
      </c>
    </row>
    <row r="2" spans="1:13" x14ac:dyDescent="0.4">
      <c r="B2" t="s">
        <v>1</v>
      </c>
      <c r="F2" t="s">
        <v>2</v>
      </c>
      <c r="J2" t="s">
        <v>3</v>
      </c>
    </row>
    <row r="3" spans="1:13" x14ac:dyDescent="0.4">
      <c r="B3">
        <v>20</v>
      </c>
      <c r="C3">
        <v>5575</v>
      </c>
      <c r="D3">
        <v>5806.1001999999999</v>
      </c>
      <c r="E3">
        <v>5441.9087</v>
      </c>
      <c r="F3">
        <v>40</v>
      </c>
      <c r="G3">
        <v>511.36360000000002</v>
      </c>
      <c r="H3">
        <v>527.77779999999996</v>
      </c>
      <c r="I3">
        <v>473.23340000000002</v>
      </c>
      <c r="J3">
        <v>50</v>
      </c>
      <c r="K3">
        <v>478.55529999999999</v>
      </c>
      <c r="L3">
        <v>503.26799999999997</v>
      </c>
      <c r="M3">
        <v>529.66099999999994</v>
      </c>
    </row>
    <row r="4" spans="1:13" x14ac:dyDescent="0.4">
      <c r="B4">
        <v>50</v>
      </c>
      <c r="C4">
        <v>6032.1100999999999</v>
      </c>
      <c r="D4">
        <v>5838.9261999999999</v>
      </c>
      <c r="E4">
        <v>5608.5105999999996</v>
      </c>
      <c r="F4">
        <v>50</v>
      </c>
      <c r="G4">
        <v>574.32429999999999</v>
      </c>
      <c r="H4">
        <v>483.05079999999998</v>
      </c>
      <c r="I4">
        <v>493.67090000000002</v>
      </c>
      <c r="J4">
        <v>75</v>
      </c>
      <c r="K4">
        <v>839.00229999999999</v>
      </c>
      <c r="L4">
        <v>795.60440000000006</v>
      </c>
      <c r="M4">
        <v>736.28689999999995</v>
      </c>
    </row>
    <row r="5" spans="1:13" x14ac:dyDescent="0.4">
      <c r="B5">
        <v>75</v>
      </c>
      <c r="C5">
        <v>6248.8478999999998</v>
      </c>
      <c r="D5">
        <v>6066.9642999999996</v>
      </c>
      <c r="E5">
        <v>5854.1225999999997</v>
      </c>
      <c r="F5">
        <v>75</v>
      </c>
      <c r="G5">
        <v>908.88379999999995</v>
      </c>
      <c r="H5">
        <v>822.41010000000006</v>
      </c>
      <c r="I5">
        <v>744.68089999999995</v>
      </c>
      <c r="J5">
        <v>100</v>
      </c>
      <c r="K5">
        <v>1405.3452</v>
      </c>
      <c r="L5">
        <v>1306.5217</v>
      </c>
      <c r="M5">
        <v>1122.4066</v>
      </c>
    </row>
    <row r="6" spans="1:13" x14ac:dyDescent="0.4">
      <c r="B6">
        <v>100</v>
      </c>
      <c r="C6">
        <v>6434.4978000000001</v>
      </c>
      <c r="D6">
        <v>6336.933</v>
      </c>
      <c r="E6">
        <v>6245.2025999999996</v>
      </c>
      <c r="F6">
        <v>100</v>
      </c>
      <c r="G6">
        <v>1405.7971</v>
      </c>
      <c r="H6">
        <v>1316.3481999999999</v>
      </c>
      <c r="I6">
        <v>1219.6652999999999</v>
      </c>
      <c r="J6">
        <v>125</v>
      </c>
      <c r="K6">
        <v>2787.8103999999998</v>
      </c>
      <c r="L6">
        <v>2845.3159000000001</v>
      </c>
      <c r="M6">
        <v>1873.4177</v>
      </c>
    </row>
    <row r="7" spans="1:13" x14ac:dyDescent="0.4">
      <c r="B7">
        <v>125</v>
      </c>
      <c r="C7">
        <v>6851.9362000000001</v>
      </c>
      <c r="D7">
        <v>7071.1111000000001</v>
      </c>
      <c r="E7">
        <v>6702.1277</v>
      </c>
    </row>
    <row r="9" spans="1:13" x14ac:dyDescent="0.4">
      <c r="C9" t="s">
        <v>5</v>
      </c>
      <c r="I9" t="s">
        <v>12</v>
      </c>
      <c r="J9" t="s">
        <v>7</v>
      </c>
      <c r="K9" t="s">
        <v>13</v>
      </c>
    </row>
    <row r="10" spans="1:13" x14ac:dyDescent="0.4">
      <c r="A10" t="s">
        <v>8</v>
      </c>
      <c r="B10" t="s">
        <v>4</v>
      </c>
      <c r="C10">
        <v>1</v>
      </c>
      <c r="D10" s="1">
        <v>6318.7347931873473</v>
      </c>
      <c r="E10" s="1">
        <v>5869.0476190476193</v>
      </c>
      <c r="F10" s="1">
        <v>5464.788732394366</v>
      </c>
      <c r="G10">
        <f>AVERAGE(D10:F10)</f>
        <v>5884.1903815431106</v>
      </c>
      <c r="H10">
        <f>(G10-5297.64)/10.99</f>
        <v>53.371281305105569</v>
      </c>
      <c r="I10" s="2">
        <f>AVERAGE(H10:H12)</f>
        <v>53.887005092472897</v>
      </c>
      <c r="J10">
        <f>STDEV(H10:H12)/I10</f>
        <v>6.7079093912723056E-2</v>
      </c>
      <c r="K10" s="2">
        <f>STDEV(H10:H12)</f>
        <v>3.614691475273375</v>
      </c>
    </row>
    <row r="11" spans="1:13" x14ac:dyDescent="0.4">
      <c r="C11">
        <v>2</v>
      </c>
      <c r="D11" s="1">
        <v>6105.9907834101386</v>
      </c>
      <c r="E11" s="1">
        <v>5984.3400447427293</v>
      </c>
      <c r="F11" s="1">
        <v>5706.0085836909866</v>
      </c>
      <c r="G11">
        <f t="shared" ref="G11:G15" si="0">AVERAGE(D11:F11)</f>
        <v>5932.1131372812852</v>
      </c>
      <c r="H11">
        <f t="shared" ref="H11:H15" si="1">(G11-5297.64)/10.99</f>
        <v>57.731859625230648</v>
      </c>
      <c r="I11" s="2"/>
      <c r="K11" s="2"/>
    </row>
    <row r="12" spans="1:13" x14ac:dyDescent="0.4">
      <c r="C12">
        <v>3</v>
      </c>
      <c r="D12" s="1">
        <v>6091.7431192660551</v>
      </c>
      <c r="E12" s="1">
        <v>5852.0179372197308</v>
      </c>
      <c r="F12" s="1">
        <v>5616.0520607375265</v>
      </c>
      <c r="G12">
        <f t="shared" si="0"/>
        <v>5853.2710390744369</v>
      </c>
      <c r="H12">
        <f t="shared" si="1"/>
        <v>50.557874347082489</v>
      </c>
      <c r="I12" s="2"/>
      <c r="K12" s="2"/>
    </row>
    <row r="13" spans="1:13" x14ac:dyDescent="0.4">
      <c r="A13" t="s">
        <v>9</v>
      </c>
      <c r="B13" t="s">
        <v>4</v>
      </c>
      <c r="C13">
        <v>1</v>
      </c>
      <c r="D13" s="1">
        <v>6675.1152073732719</v>
      </c>
      <c r="E13" s="1">
        <v>6909.7065462753953</v>
      </c>
      <c r="F13" s="1">
        <v>6101.1494252873563</v>
      </c>
      <c r="G13">
        <f t="shared" si="0"/>
        <v>6561.9903929786742</v>
      </c>
      <c r="H13">
        <f t="shared" si="1"/>
        <v>115.04553166320963</v>
      </c>
      <c r="I13" s="2">
        <f t="shared" ref="I13:I19" si="2">AVERAGE(H13:H15)</f>
        <v>108.2442499543691</v>
      </c>
      <c r="J13">
        <f t="shared" ref="J13:J19" si="3">STDEV(H13:H15)/I13</f>
        <v>6.6393739235802982E-2</v>
      </c>
      <c r="K13" s="2">
        <f t="shared" ref="K13:K19" si="4">STDEV(H13:H15)</f>
        <v>7.18674050524546</v>
      </c>
    </row>
    <row r="14" spans="1:13" x14ac:dyDescent="0.4">
      <c r="C14">
        <v>2</v>
      </c>
      <c r="D14" s="1">
        <v>6434.3891402714935</v>
      </c>
      <c r="E14" s="1">
        <v>6705.4945054945056</v>
      </c>
      <c r="F14" s="1">
        <v>6345.4935622317589</v>
      </c>
      <c r="G14">
        <f t="shared" si="0"/>
        <v>6495.1257359992524</v>
      </c>
      <c r="H14">
        <f t="shared" si="1"/>
        <v>108.9613954503414</v>
      </c>
      <c r="I14" s="2"/>
      <c r="K14" s="2"/>
    </row>
    <row r="15" spans="1:13" x14ac:dyDescent="0.4">
      <c r="C15">
        <v>3</v>
      </c>
      <c r="D15" s="1">
        <v>6715.6177156177155</v>
      </c>
      <c r="E15" s="1">
        <v>6567.1981776765379</v>
      </c>
      <c r="F15" s="1">
        <v>5931.0344827586205</v>
      </c>
      <c r="G15">
        <f t="shared" si="0"/>
        <v>6404.616792017624</v>
      </c>
      <c r="H15">
        <f t="shared" si="1"/>
        <v>100.72582274955629</v>
      </c>
      <c r="I15" s="2"/>
      <c r="K15" s="2"/>
    </row>
    <row r="16" spans="1:13" x14ac:dyDescent="0.4">
      <c r="A16" t="s">
        <v>10</v>
      </c>
      <c r="B16" t="s">
        <v>6</v>
      </c>
      <c r="C16">
        <v>1</v>
      </c>
      <c r="D16" s="1">
        <v>499.99999999999994</v>
      </c>
      <c r="E16" s="1">
        <v>546.53937947494035</v>
      </c>
      <c r="F16" s="1">
        <v>459.09090909090907</v>
      </c>
      <c r="G16">
        <f>AVERAGE(D16:F16)</f>
        <v>501.87676285528306</v>
      </c>
      <c r="H16" s="1">
        <f>(G16+7.12)/12.14</f>
        <v>41.927245704718537</v>
      </c>
      <c r="I16" s="2">
        <f t="shared" si="2"/>
        <v>42.444434687527568</v>
      </c>
      <c r="J16">
        <f t="shared" si="3"/>
        <v>1.2264674061061968E-2</v>
      </c>
      <c r="K16" s="2">
        <f t="shared" si="4"/>
        <v>0.52056715714855817</v>
      </c>
    </row>
    <row r="17" spans="1:11" x14ac:dyDescent="0.4">
      <c r="C17">
        <v>2</v>
      </c>
      <c r="D17" s="1">
        <v>578.08857808857806</v>
      </c>
      <c r="E17" s="1">
        <v>489.97772828507794</v>
      </c>
      <c r="F17" s="1">
        <v>475.47974413646051</v>
      </c>
      <c r="G17">
        <f t="shared" ref="G17:G21" si="5">AVERAGE(D17:F17)</f>
        <v>514.51535017003891</v>
      </c>
      <c r="H17" s="1">
        <f t="shared" ref="H17:H18" si="6">(G17+7.12)/12.14</f>
        <v>42.968315500003207</v>
      </c>
      <c r="I17" s="2"/>
      <c r="K17" s="2"/>
    </row>
    <row r="18" spans="1:11" x14ac:dyDescent="0.4">
      <c r="C18">
        <v>3</v>
      </c>
      <c r="D18" s="1">
        <v>518.51851851851848</v>
      </c>
      <c r="E18" s="1">
        <v>514.67268623024825</v>
      </c>
      <c r="F18" s="1">
        <v>491.03139013452915</v>
      </c>
      <c r="G18">
        <f t="shared" si="5"/>
        <v>508.07419829443194</v>
      </c>
      <c r="H18" s="1">
        <f t="shared" si="6"/>
        <v>42.437742857860947</v>
      </c>
      <c r="I18" s="2"/>
      <c r="K18" s="2"/>
    </row>
    <row r="19" spans="1:11" x14ac:dyDescent="0.4">
      <c r="A19" t="s">
        <v>11</v>
      </c>
      <c r="B19" t="s">
        <v>6</v>
      </c>
      <c r="C19">
        <v>1</v>
      </c>
      <c r="D19" s="1">
        <v>1090.4977375565611</v>
      </c>
      <c r="E19" s="1">
        <v>1121.4128035320089</v>
      </c>
      <c r="F19" s="1">
        <v>970.33898305084745</v>
      </c>
      <c r="G19">
        <f t="shared" si="5"/>
        <v>1060.7498413798057</v>
      </c>
      <c r="H19">
        <f>(G19+191.34)/13.76</f>
        <v>90.994901263067277</v>
      </c>
      <c r="I19" s="2">
        <f t="shared" si="2"/>
        <v>95.831160374923044</v>
      </c>
      <c r="J19">
        <f t="shared" si="3"/>
        <v>5.1502380219155257E-2</v>
      </c>
      <c r="K19" s="2">
        <f t="shared" si="4"/>
        <v>4.9355328584721319</v>
      </c>
    </row>
    <row r="20" spans="1:11" x14ac:dyDescent="0.4">
      <c r="C20">
        <v>2</v>
      </c>
      <c r="D20" s="1">
        <v>1223.2558139534883</v>
      </c>
      <c r="E20" s="1">
        <v>1282.1670428893906</v>
      </c>
      <c r="F20" s="1">
        <v>1084.070796460177</v>
      </c>
      <c r="G20">
        <f t="shared" si="5"/>
        <v>1196.497884434352</v>
      </c>
      <c r="H20">
        <f t="shared" ref="H20:H21" si="7">(G20+191.34)/13.76</f>
        <v>100.86031136877558</v>
      </c>
    </row>
    <row r="21" spans="1:11" x14ac:dyDescent="0.4">
      <c r="C21">
        <v>3</v>
      </c>
      <c r="D21" s="1">
        <v>1193.5483870967741</v>
      </c>
      <c r="E21" s="1">
        <v>1191.8735891647855</v>
      </c>
      <c r="F21" s="1">
        <v>988.50574712643675</v>
      </c>
      <c r="G21">
        <f t="shared" si="5"/>
        <v>1124.6425744626654</v>
      </c>
      <c r="H21">
        <f t="shared" si="7"/>
        <v>95.638268492926258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230E-A15D-482C-825B-E16AE926C9E2}">
  <dimension ref="A1:L24"/>
  <sheetViews>
    <sheetView workbookViewId="0">
      <selection activeCell="H24" sqref="H24"/>
    </sheetView>
  </sheetViews>
  <sheetFormatPr defaultRowHeight="13.9" x14ac:dyDescent="0.4"/>
  <sheetData>
    <row r="1" spans="1:12" x14ac:dyDescent="0.4">
      <c r="A1" t="s">
        <v>0</v>
      </c>
    </row>
    <row r="2" spans="1:12" x14ac:dyDescent="0.4">
      <c r="A2" t="s">
        <v>1</v>
      </c>
      <c r="E2" t="s">
        <v>2</v>
      </c>
      <c r="I2" t="s">
        <v>3</v>
      </c>
    </row>
    <row r="3" spans="1:12" x14ac:dyDescent="0.4">
      <c r="A3">
        <v>20</v>
      </c>
      <c r="B3">
        <v>6898.3739999999998</v>
      </c>
      <c r="C3">
        <v>6997.9633000000003</v>
      </c>
      <c r="D3">
        <v>7222.8915999999999</v>
      </c>
      <c r="E3">
        <v>50</v>
      </c>
      <c r="F3">
        <v>430.82230000000004</v>
      </c>
      <c r="G3">
        <v>424.76560000000001</v>
      </c>
      <c r="H3">
        <v>469.81299999999999</v>
      </c>
      <c r="I3">
        <v>50</v>
      </c>
      <c r="J3">
        <v>374.50979999999998</v>
      </c>
      <c r="K3">
        <v>340.77080000000001</v>
      </c>
      <c r="L3">
        <v>357.42970000000003</v>
      </c>
    </row>
    <row r="4" spans="1:12" x14ac:dyDescent="0.4">
      <c r="A4">
        <v>40</v>
      </c>
      <c r="B4">
        <v>8774.7368000000006</v>
      </c>
      <c r="C4">
        <v>8930.8176000000003</v>
      </c>
      <c r="D4">
        <v>8949.0835000000006</v>
      </c>
      <c r="E4">
        <v>75</v>
      </c>
      <c r="F4">
        <v>606.56190000000004</v>
      </c>
      <c r="G4">
        <v>739.8424</v>
      </c>
      <c r="H4">
        <v>685.4067</v>
      </c>
      <c r="I4">
        <v>75</v>
      </c>
      <c r="J4">
        <v>525.77319999999997</v>
      </c>
      <c r="K4">
        <v>637.11339999999996</v>
      </c>
      <c r="L4">
        <v>607.88379999999995</v>
      </c>
    </row>
    <row r="5" spans="1:12" x14ac:dyDescent="0.4">
      <c r="A5">
        <v>50</v>
      </c>
      <c r="B5">
        <v>9014.4330000000009</v>
      </c>
      <c r="C5">
        <v>9342.2131000000008</v>
      </c>
      <c r="D5">
        <v>9550</v>
      </c>
      <c r="E5">
        <v>100</v>
      </c>
      <c r="F5">
        <v>1374.2361000000001</v>
      </c>
      <c r="G5">
        <v>1646.7447999999999</v>
      </c>
      <c r="H5">
        <v>1440.1252999999999</v>
      </c>
      <c r="I5">
        <v>100</v>
      </c>
      <c r="J5">
        <v>817.62300000000005</v>
      </c>
      <c r="K5">
        <v>934.29160000000002</v>
      </c>
      <c r="L5">
        <v>914.11040000000003</v>
      </c>
    </row>
    <row r="6" spans="1:12" x14ac:dyDescent="0.4">
      <c r="A6">
        <v>75</v>
      </c>
      <c r="B6">
        <v>10673.6402</v>
      </c>
      <c r="C6">
        <v>11258.264499999999</v>
      </c>
      <c r="D6">
        <v>11581.4889</v>
      </c>
      <c r="E6">
        <v>125</v>
      </c>
      <c r="F6">
        <v>1742.433</v>
      </c>
      <c r="G6">
        <v>2113.2883999999999</v>
      </c>
      <c r="H6">
        <v>2091.7737000000002</v>
      </c>
      <c r="I6">
        <v>125</v>
      </c>
      <c r="J6">
        <v>1427.3859</v>
      </c>
      <c r="K6">
        <v>1862.5793000000001</v>
      </c>
      <c r="L6">
        <v>1663.8655000000001</v>
      </c>
    </row>
    <row r="7" spans="1:12" x14ac:dyDescent="0.4">
      <c r="A7">
        <v>100</v>
      </c>
      <c r="B7">
        <v>12582.2785</v>
      </c>
      <c r="C7">
        <v>12243.75</v>
      </c>
      <c r="D7">
        <v>13174.796700000001</v>
      </c>
    </row>
    <row r="8" spans="1:12" x14ac:dyDescent="0.4">
      <c r="A8">
        <v>125</v>
      </c>
      <c r="B8">
        <v>14055.914000000001</v>
      </c>
      <c r="C8">
        <v>14582.4411</v>
      </c>
      <c r="D8">
        <v>15205.450699999999</v>
      </c>
    </row>
    <row r="9" spans="1:12" x14ac:dyDescent="0.4">
      <c r="A9">
        <v>150</v>
      </c>
      <c r="B9">
        <v>16768.518499999998</v>
      </c>
      <c r="C9">
        <v>17573.085800000001</v>
      </c>
      <c r="D9">
        <v>17160.356299999999</v>
      </c>
    </row>
    <row r="12" spans="1:12" x14ac:dyDescent="0.4">
      <c r="B12" t="s">
        <v>5</v>
      </c>
      <c r="H12" t="s">
        <v>12</v>
      </c>
      <c r="I12" t="s">
        <v>7</v>
      </c>
      <c r="J12" t="s">
        <v>13</v>
      </c>
    </row>
    <row r="13" spans="1:12" x14ac:dyDescent="0.4">
      <c r="A13" t="s">
        <v>4</v>
      </c>
      <c r="B13">
        <v>1</v>
      </c>
      <c r="C13" s="1">
        <v>12086.693548387095</v>
      </c>
      <c r="D13" s="1">
        <v>12663.385826771653</v>
      </c>
      <c r="E13" s="1">
        <v>11945.841392649905</v>
      </c>
      <c r="F13">
        <f>AVERAGE(C13:E13)</f>
        <v>12231.973589269552</v>
      </c>
      <c r="G13">
        <f>(F13-6355.78)/64.93</f>
        <v>90.500440309095197</v>
      </c>
      <c r="H13" s="2">
        <f>AVERAGE(G13:G15)</f>
        <v>92.572099126863705</v>
      </c>
      <c r="I13">
        <f>STDEV(G13:G15)/H13</f>
        <v>2.0899431880610237E-2</v>
      </c>
      <c r="J13" s="2">
        <f>STDEV(G13:G15)</f>
        <v>1.9347042797469864</v>
      </c>
    </row>
    <row r="14" spans="1:12" x14ac:dyDescent="0.4">
      <c r="A14">
        <v>100</v>
      </c>
      <c r="B14">
        <v>2</v>
      </c>
      <c r="C14" s="1">
        <v>12390.781563126251</v>
      </c>
      <c r="D14" s="1">
        <v>12637.623762376237</v>
      </c>
      <c r="E14" s="1">
        <v>12413.861386138613</v>
      </c>
      <c r="F14">
        <f t="shared" ref="F14:F18" si="0">AVERAGE(C14:E14)</f>
        <v>12480.755570547035</v>
      </c>
      <c r="G14">
        <f t="shared" ref="G14:G15" si="1">(F14-6355.78)/64.93</f>
        <v>94.331981680995455</v>
      </c>
      <c r="H14" s="2"/>
      <c r="J14" s="2"/>
    </row>
    <row r="15" spans="1:12" x14ac:dyDescent="0.4">
      <c r="B15">
        <v>3</v>
      </c>
      <c r="C15" s="1">
        <v>12148.148148148148</v>
      </c>
      <c r="D15" s="1">
        <v>12546.55870445344</v>
      </c>
      <c r="E15" s="1">
        <v>12465.483234714004</v>
      </c>
      <c r="F15">
        <f t="shared" si="0"/>
        <v>12386.730029105196</v>
      </c>
      <c r="G15">
        <f t="shared" si="1"/>
        <v>92.883875390500478</v>
      </c>
      <c r="H15" s="2"/>
      <c r="J15" s="2"/>
    </row>
    <row r="16" spans="1:12" x14ac:dyDescent="0.4">
      <c r="A16" t="s">
        <v>4</v>
      </c>
      <c r="B16">
        <v>1</v>
      </c>
      <c r="C16" s="1">
        <v>9059.0631364562105</v>
      </c>
      <c r="D16" s="1">
        <v>8961.7117117117123</v>
      </c>
      <c r="E16" s="1">
        <v>9428.8939051918733</v>
      </c>
      <c r="F16">
        <f t="shared" si="0"/>
        <v>9149.8895844532653</v>
      </c>
      <c r="G16">
        <f>(F16-5780.29)/74.35</f>
        <v>45.320774505087634</v>
      </c>
      <c r="H16" s="2">
        <f t="shared" ref="H16:H22" si="2">AVERAGE(G16:G18)</f>
        <v>44.761691845125121</v>
      </c>
      <c r="I16">
        <f t="shared" ref="I16:I22" si="3">STDEV(G16:G18)/H16</f>
        <v>3.7687668747562596E-2</v>
      </c>
      <c r="J16" s="2">
        <f t="shared" ref="J16:J22" si="4">STDEV(G16:G18)</f>
        <v>1.6869638148395496</v>
      </c>
    </row>
    <row r="17" spans="1:10" x14ac:dyDescent="0.4">
      <c r="A17">
        <v>50</v>
      </c>
      <c r="B17">
        <v>2</v>
      </c>
      <c r="C17" s="1">
        <v>9276.643990929706</v>
      </c>
      <c r="D17" s="1">
        <v>9204.4943820224726</v>
      </c>
      <c r="E17" s="1">
        <v>9141.9213973799124</v>
      </c>
      <c r="F17">
        <f t="shared" si="0"/>
        <v>9207.6865901106958</v>
      </c>
      <c r="G17">
        <f t="shared" ref="G17:G18" si="5">(F17-5780.29)/74.35</f>
        <v>46.098138400950852</v>
      </c>
      <c r="H17" s="2"/>
      <c r="J17" s="2"/>
    </row>
    <row r="18" spans="1:10" x14ac:dyDescent="0.4">
      <c r="B18">
        <v>3</v>
      </c>
      <c r="C18" s="1">
        <v>9114.9897330595468</v>
      </c>
      <c r="D18" s="1">
        <v>8932.9268292682918</v>
      </c>
      <c r="E18" s="1">
        <v>8854.251012145749</v>
      </c>
      <c r="F18">
        <f t="shared" si="0"/>
        <v>8967.3891914911965</v>
      </c>
      <c r="G18">
        <f t="shared" si="5"/>
        <v>42.866162629336877</v>
      </c>
      <c r="H18" s="2"/>
      <c r="J18" s="2"/>
    </row>
    <row r="19" spans="1:10" x14ac:dyDescent="0.4">
      <c r="A19" t="s">
        <v>6</v>
      </c>
      <c r="B19">
        <v>1</v>
      </c>
      <c r="C19" s="1">
        <v>448.83720930232556</v>
      </c>
      <c r="D19" s="1">
        <v>511.26126126126127</v>
      </c>
      <c r="E19" s="1">
        <v>458.23927765237022</v>
      </c>
      <c r="F19">
        <f>AVERAGE(C19:E19)</f>
        <v>472.77924940531904</v>
      </c>
      <c r="G19" s="1">
        <f>(F19+519.4)/18.46</f>
        <v>53.747521636257801</v>
      </c>
      <c r="H19" s="2">
        <f t="shared" si="2"/>
        <v>52.556763697330865</v>
      </c>
      <c r="I19">
        <f t="shared" si="3"/>
        <v>1.9728833512339554E-2</v>
      </c>
      <c r="J19" s="2">
        <f t="shared" si="4"/>
        <v>1.0368836409320121</v>
      </c>
    </row>
    <row r="20" spans="1:10" x14ac:dyDescent="0.4">
      <c r="B20">
        <v>2</v>
      </c>
      <c r="C20" s="1">
        <v>436.44067796610165</v>
      </c>
      <c r="D20" s="1">
        <v>402.04081632653055</v>
      </c>
      <c r="E20" s="1">
        <v>474.94989979959917</v>
      </c>
      <c r="F20">
        <f t="shared" ref="F20:F24" si="6">AVERAGE(C20:E20)</f>
        <v>437.81046469741045</v>
      </c>
      <c r="G20" s="1">
        <f t="shared" ref="G20:G21" si="7">(F20+519.4)/18.46</f>
        <v>51.853221272882472</v>
      </c>
      <c r="H20" s="2"/>
      <c r="J20" s="2"/>
    </row>
    <row r="21" spans="1:10" x14ac:dyDescent="0.4">
      <c r="B21">
        <v>3</v>
      </c>
      <c r="C21" s="1">
        <v>369.6145124716553</v>
      </c>
      <c r="D21" s="1">
        <v>442.69662921348316</v>
      </c>
      <c r="E21" s="1">
        <v>513.10043668122273</v>
      </c>
      <c r="F21">
        <f t="shared" si="6"/>
        <v>441.80385945545368</v>
      </c>
      <c r="G21" s="1">
        <f t="shared" si="7"/>
        <v>52.069548182852309</v>
      </c>
      <c r="H21" s="2"/>
      <c r="J21" s="2"/>
    </row>
    <row r="22" spans="1:10" x14ac:dyDescent="0.4">
      <c r="A22" t="s">
        <v>6</v>
      </c>
      <c r="B22">
        <v>1</v>
      </c>
      <c r="C22" s="1">
        <v>645.56962025316454</v>
      </c>
      <c r="D22" s="1">
        <v>746.91358024691351</v>
      </c>
      <c r="E22" s="1">
        <v>813.76518218623471</v>
      </c>
      <c r="F22">
        <f t="shared" si="6"/>
        <v>735.41612756210418</v>
      </c>
      <c r="G22">
        <f>(F22+209.05)/11.27</f>
        <v>83.8035605645168</v>
      </c>
      <c r="H22" s="2">
        <f t="shared" si="2"/>
        <v>85.261051814472879</v>
      </c>
      <c r="I22">
        <f t="shared" si="3"/>
        <v>2.1514047779051026E-2</v>
      </c>
      <c r="J22" s="2">
        <f t="shared" si="4"/>
        <v>1.8343103424287148</v>
      </c>
    </row>
    <row r="23" spans="1:10" x14ac:dyDescent="0.4">
      <c r="B23">
        <v>2</v>
      </c>
      <c r="C23" s="1">
        <v>693.54838709677415</v>
      </c>
      <c r="D23" s="1">
        <v>779.5275590551181</v>
      </c>
      <c r="E23" s="1">
        <v>762.08897485493242</v>
      </c>
      <c r="F23">
        <f t="shared" si="6"/>
        <v>745.05497366894167</v>
      </c>
      <c r="G23">
        <f t="shared" ref="G23:G24" si="8">(F23+209.05)/11.27</f>
        <v>84.658826412505931</v>
      </c>
    </row>
    <row r="24" spans="1:10" x14ac:dyDescent="0.4">
      <c r="B24">
        <v>3</v>
      </c>
      <c r="C24" s="1">
        <v>701.40280561122233</v>
      </c>
      <c r="D24" s="1">
        <v>750.49504950495054</v>
      </c>
      <c r="E24" s="1">
        <v>873.26732673267327</v>
      </c>
      <c r="F24">
        <f t="shared" si="6"/>
        <v>775.05506061628205</v>
      </c>
      <c r="G24">
        <f t="shared" si="8"/>
        <v>87.320768466395933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tap</vt:lpstr>
      <vt:lpstr>river</vt:lpstr>
      <vt:lpstr>lake</vt:lpstr>
      <vt:lpstr>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2026-02-28T16:46:50Z</dcterms:modified>
</cp:coreProperties>
</file>